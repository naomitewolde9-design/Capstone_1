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aomitewolde\Documents\DATA_Labs\Capstone_1\"/>
    </mc:Choice>
  </mc:AlternateContent>
  <xr:revisionPtr revIDLastSave="0" documentId="8_{38A7C4ED-4B72-455C-AD21-2B838D6F2880}" xr6:coauthVersionLast="47" xr6:coauthVersionMax="47" xr10:uidLastSave="{00000000-0000-0000-0000-000000000000}"/>
  <bookViews>
    <workbookView xWindow="-110" yWindow="-110" windowWidth="19420" windowHeight="11500" firstSheet="3" activeTab="3" xr2:uid="{F9E5F846-3F24-4A85-8C56-684E1499DFD8}"/>
  </bookViews>
  <sheets>
    <sheet name="q5PV" sheetId="14" r:id="rId1"/>
    <sheet name="Q5Query" sheetId="2" r:id="rId2"/>
    <sheet name="q4PV" sheetId="15" r:id="rId3"/>
    <sheet name="Tewolde_Territory_Chart" sheetId="10" r:id="rId4"/>
  </sheets>
  <externalReferences>
    <externalReference r:id="rId5"/>
  </externalReferences>
  <definedNames>
    <definedName name="_xlcn.WorksheetConnection_Book1Q5Query1" hidden="1">Q5Query[]</definedName>
    <definedName name="_xlcn.WorksheetConnection_Sheet2A3B541" hidden="1">[1]Sheet2!$A$3:$B$54</definedName>
    <definedName name="ExternalData_1" localSheetId="1" hidden="1">Q5Query!$A$2:$D$51</definedName>
    <definedName name="ExternalData_1" localSheetId="3" hidden="1">Tewolde_Territory_Chart!$A$2:$B$4</definedName>
    <definedName name="ExternalData_2" localSheetId="3" hidden="1">Tewolde_Territory_Chart!$E$2:$H$51</definedName>
    <definedName name="ExternalData_3" localSheetId="3" hidden="1">Tewolde_Territory_Chart!$K$2:$O$290</definedName>
    <definedName name="ExternalData_4" localSheetId="3" hidden="1">Tewolde_Territory_Chart!$A$7:$D$8</definedName>
  </definedNames>
  <calcPr calcId="191029"/>
  <pivotCaches>
    <pivotCache cacheId="37" r:id="rId6"/>
    <pivotCache cacheId="43" r:id="rId7"/>
    <pivotCache cacheId="47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A$3:$B$54"/>
          <x15:modelTable id="Q5Query" name="Q5Query" connection="WorksheetConnection_Book1!Q5Quer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F5D8DE06-ABB6-4C22-A68B-54D599740E44}" keepAlive="1" name="Query - Q1Query" description="Connection to the 'Q1Query' query in the workbook." type="5" refreshedVersion="8" background="1" saveData="1">
    <dbPr connection="Provider=Microsoft.Mashup.OleDb.1;Data Source=$Workbook$;Location=Q1Query;Extended Properties=&quot;&quot;" command="SELECT * FROM [Q1Query]"/>
  </connection>
  <connection id="2" xr16:uid="{727EFE8E-113A-4E26-BDCC-2A834C4827FC}" keepAlive="1" name="Query - Q1Query (2)" description="Connection to the 'Q1Query (2)' query in the workbook." type="5" refreshedVersion="8" background="1" saveData="1">
    <dbPr connection="Provider=Microsoft.Mashup.OleDb.1;Data Source=$Workbook$;Location=&quot;Q1Query (2)&quot;;Extended Properties=&quot;&quot;" command="SELECT * FROM [Q1Query (2)]"/>
  </connection>
  <connection id="3" xr16:uid="{812C998A-3ABE-4D82-9FCB-BF2805A4910D}" keepAlive="1" name="Query - Q2Query" description="Connection to the 'Q2Query' query in the workbook." type="5" refreshedVersion="8" background="1" saveData="1">
    <dbPr connection="Provider=Microsoft.Mashup.OleDb.1;Data Source=$Workbook$;Location=Q2Query;Extended Properties=&quot;&quot;" command="SELECT * FROM [Q2Query]"/>
  </connection>
  <connection id="4" xr16:uid="{97EAEC8B-4161-4AB2-9684-84B29495F066}" keepAlive="1" name="Query - Q3Query" description="Connection to the 'Q3Query' query in the workbook." type="5" refreshedVersion="8" background="1" saveData="1">
    <dbPr connection="Provider=Microsoft.Mashup.OleDb.1;Data Source=$Workbook$;Location=Q3Query;Extended Properties=&quot;&quot;" command="SELECT * FROM [Q3Query]"/>
  </connection>
  <connection id="5" xr16:uid="{C67D3CF7-CF11-4F56-90ED-25EBBE77BBBC}" keepAlive="1" name="Query - Q4Query" description="Connection to the 'Q4Query' query in the workbook." type="5" refreshedVersion="8" background="1" saveData="1">
    <dbPr connection="Provider=Microsoft.Mashup.OleDb.1;Data Source=$Workbook$;Location=Q4Query;Extended Properties=&quot;&quot;" command="SELECT * FROM [Q4Query]"/>
  </connection>
  <connection id="6" xr16:uid="{CD88C04D-E867-43C8-9B35-E85000A8A924}" keepAlive="1" name="Query - Q4Query (2)" description="Connection to the 'Q4Query (2)' query in the workbook." type="5" refreshedVersion="8" background="1" saveData="1">
    <dbPr connection="Provider=Microsoft.Mashup.OleDb.1;Data Source=$Workbook$;Location=&quot;Q4Query (2)&quot;;Extended Properties=&quot;&quot;" command="SELECT * FROM [Q4Query (2)]"/>
  </connection>
  <connection id="7" xr16:uid="{83A4A1C0-661D-467B-A1A2-FCBB114472AF}" keepAlive="1" name="Query - Q5Query" description="Connection to the 'Q5Query' query in the workbook." type="5" refreshedVersion="8" background="1" saveData="1">
    <dbPr connection="Provider=Microsoft.Mashup.OleDb.1;Data Source=$Workbook$;Location=Q5Query;Extended Properties=&quot;&quot;" command="SELECT * FROM [Q5Query]"/>
  </connection>
  <connection id="8" xr16:uid="{D29FD555-D167-4A31-B8DD-71D67B3269CB}" keepAlive="1" name="Query - Q5Query (2)" description="Connection to the 'Q5Query (2)' query in the workbook." type="5" refreshedVersion="8" background="1" saveData="1">
    <dbPr connection="Provider=Microsoft.Mashup.OleDb.1;Data Source=$Workbook$;Location=&quot;Q5Query (2)&quot;;Extended Properties=&quot;&quot;" command="SELECT * FROM [Q5Query (2)]"/>
  </connection>
  <connection id="9" xr16:uid="{7758E38C-D841-40BD-A276-1E130E85C96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1E36D4A9-2BA9-4FD7-AC78-BFB36CF5C19B}" name="WorksheetConnection_Book1!Q5Query" type="102" refreshedVersion="8" minRefreshableVersion="5">
    <extLst>
      <ext xmlns:x15="http://schemas.microsoft.com/office/spreadsheetml/2010/11/main" uri="{DE250136-89BD-433C-8126-D09CA5730AF9}">
        <x15:connection id="Q5Query">
          <x15:rangePr sourceName="_xlcn.WorksheetConnection_Book1Q5Query1"/>
        </x15:connection>
      </ext>
    </extLst>
  </connection>
  <connection id="11" xr16:uid="{0CDE357A-93DD-4A9E-B150-250F3E1508DB}" name="WorksheetConnection_Sheet2!$A$3:$B$5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A3B541"/>
        </x15:connection>
      </ext>
    </extLst>
  </connection>
</connections>
</file>

<file path=xl/sharedStrings.xml><?xml version="1.0" encoding="utf-8"?>
<sst xmlns="http://purl.oclc.org/ooxml/spreadsheetml/main" count="447" uniqueCount="35">
  <si>
    <t>StoreId</t>
  </si>
  <si>
    <t>Region</t>
  </si>
  <si>
    <t>Store_Revenue</t>
  </si>
  <si>
    <t>Store_Rank</t>
  </si>
  <si>
    <t>Northeast</t>
  </si>
  <si>
    <t>Sum of Store_Revenue</t>
  </si>
  <si>
    <t>Row Labels</t>
  </si>
  <si>
    <t>Grand Total</t>
  </si>
  <si>
    <t>(All)</t>
  </si>
  <si>
    <t>Year</t>
  </si>
  <si>
    <t>Month</t>
  </si>
  <si>
    <t>Category</t>
  </si>
  <si>
    <t>Number_of_Transactions</t>
  </si>
  <si>
    <t>Avg_Transaction</t>
  </si>
  <si>
    <t>Apparel and Merchandise</t>
  </si>
  <si>
    <t>Art Supplies</t>
  </si>
  <si>
    <t>Books (General)</t>
  </si>
  <si>
    <t>Stationery and Supplies</t>
  </si>
  <si>
    <t>Technology &amp; Accessories</t>
  </si>
  <si>
    <t>Textbooks</t>
  </si>
  <si>
    <t>Location</t>
  </si>
  <si>
    <t>Total_Revenue</t>
  </si>
  <si>
    <t>Maryland</t>
  </si>
  <si>
    <t>Sales_Territory</t>
  </si>
  <si>
    <t>Start_Date</t>
  </si>
  <si>
    <t>End_Date</t>
  </si>
  <si>
    <t>Maryland Total Revenue</t>
  </si>
  <si>
    <t xml:space="preserve">Notheast to Maryland Total Revenue </t>
  </si>
  <si>
    <t>Category Average Transaction Size</t>
  </si>
  <si>
    <t xml:space="preserve">Region to Store Revenue Ranking </t>
  </si>
  <si>
    <t>StoreID</t>
  </si>
  <si>
    <t>Sum of Number_of_Transactions</t>
  </si>
  <si>
    <t>Sum of Avg_Transaction</t>
  </si>
  <si>
    <t>Sum of Total_Revenue</t>
  </si>
  <si>
    <t>State to Region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</si>
</sst>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start/>
      <end/>
      <top/>
      <bottom/>
      <diagonal/>
    </border>
    <border>
      <start style="thin">
        <color rgb="FFABABAB"/>
      </start>
      <end/>
      <top style="thin">
        <color rgb="FFABABAB"/>
      </top>
      <bottom/>
      <diagonal/>
    </border>
    <border>
      <start style="thin">
        <color rgb="FFABABAB"/>
      </start>
      <end/>
      <top style="thin">
        <color indexed="65"/>
      </top>
      <bottom/>
      <diagonal/>
    </border>
    <border>
      <start style="thin">
        <color rgb="FFABABAB"/>
      </start>
      <end style="thin">
        <color rgb="FFABABAB"/>
      </end>
      <top style="thin">
        <color rgb="FFABABAB"/>
      </top>
      <bottom/>
      <diagonal/>
    </border>
    <border>
      <start style="thin">
        <color rgb="FFABABAB"/>
      </start>
      <end style="thin">
        <color rgb="FFABABAB"/>
      </end>
      <top style="thin">
        <color rgb="FFABABAB"/>
      </top>
      <bottom style="thin">
        <color rgb="FFABABAB"/>
      </bottom>
      <diagonal/>
    </border>
    <border>
      <start/>
      <end style="thin">
        <color rgb="FFABABAB"/>
      </end>
      <top style="thin">
        <color rgb="FFABABAB"/>
      </top>
      <bottom/>
      <diagonal/>
    </border>
    <border>
      <start style="thin">
        <color rgb="FFABABAB"/>
      </start>
      <end/>
      <top style="thin">
        <color rgb="FFABABAB"/>
      </top>
      <bottom style="thin">
        <color rgb="FFABABAB"/>
      </bottom>
      <diagonal/>
    </border>
    <border>
      <start/>
      <end style="thin">
        <color rgb="FFABABAB"/>
      </end>
      <top style="thin">
        <color rgb="FFABABAB"/>
      </top>
      <bottom style="thin">
        <color rgb="FFABABAB"/>
      </bottom>
      <diagonal/>
    </border>
    <border>
      <start style="thin">
        <color rgb="FFABABAB"/>
      </start>
      <end style="thin">
        <color rgb="FFABABAB"/>
      </end>
      <top style="thin">
        <color indexed="65"/>
      </top>
      <bottom/>
      <diagonal/>
    </border>
    <border>
      <start/>
      <end style="thin">
        <color rgb="FFABABAB"/>
      </end>
      <top style="thin">
        <color indexed="65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8" xfId="0" applyNumberFormat="1" applyBorder="1"/>
    <xf numFmtId="0" fontId="0" fillId="0" borderId="6" xfId="0" applyBorder="1" applyAlignment="1">
      <alignment horizontal="left"/>
    </xf>
    <xf numFmtId="0" fontId="0" fillId="0" borderId="1" xfId="0" applyNumberFormat="1" applyBorder="1"/>
    <xf numFmtId="0" fontId="0" fillId="0" borderId="5" xfId="0" applyNumberFormat="1" applyBorder="1"/>
    <xf numFmtId="0" fontId="0" fillId="0" borderId="2" xfId="0" applyNumberFormat="1" applyBorder="1"/>
    <xf numFmtId="0" fontId="0" fillId="0" borderId="9" xfId="0" applyNumberFormat="1" applyBorder="1"/>
    <xf numFmtId="0" fontId="0" fillId="0" borderId="4" xfId="0" applyBorder="1"/>
    <xf numFmtId="0" fontId="0" fillId="0" borderId="4" xfId="0" pivotButton="1" applyBorder="1"/>
    <xf numFmtId="0" fontId="0" fillId="2" borderId="0" xfId="0" applyFill="1"/>
    <xf numFmtId="0" fontId="0" fillId="3" borderId="0" xfId="0" applyFill="1"/>
    <xf numFmtId="0" fontId="0" fillId="3" borderId="0" xfId="0" applyNumberFormat="1" applyFill="1"/>
    <xf numFmtId="14" fontId="0" fillId="3" borderId="0" xfId="0" applyNumberFormat="1" applyFill="1"/>
    <xf numFmtId="0" fontId="0" fillId="4" borderId="0" xfId="0" applyFill="1"/>
    <xf numFmtId="10" fontId="0" fillId="0" borderId="3" xfId="0" applyNumberFormat="1" applyBorder="1"/>
    <xf numFmtId="10" fontId="0" fillId="0" borderId="8" xfId="0" applyNumberFormat="1" applyBorder="1"/>
    <xf numFmtId="10" fontId="0" fillId="0" borderId="4" xfId="0" applyNumberFormat="1" applyBorder="1"/>
    <xf numFmtId="10" fontId="0" fillId="0" borderId="1" xfId="0" applyNumberFormat="1" applyBorder="1"/>
    <xf numFmtId="10" fontId="0" fillId="0" borderId="2" xfId="0" applyNumberFormat="1" applyBorder="1"/>
    <xf numFmtId="10" fontId="0" fillId="0" borderId="6" xfId="0" applyNumberFormat="1" applyBorder="1"/>
  </cellXfs>
  <cellStyles count="1">
    <cellStyle name="Normal" xfId="0" builtinId="0"/>
  </cellStyles>
  <dxfs count="13">
    <dxf>
      <numFmt numFmtId="19" formatCode="m/d/yyyy"/>
      <fill>
        <patternFill patternType="solid">
          <fgColor indexed="64"/>
          <bgColor theme="3" tint="0.89999084444715716"/>
        </patternFill>
      </fill>
    </dxf>
    <dxf>
      <numFmt numFmtId="19" formatCode="m/d/yyyy"/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numFmt numFmtId="0" formatCode="General"/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749992370372631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pivotCacheDefinition" Target="pivotCache/pivotCacheDefinition3.xml"/><Relationship Id="rId13" Type="http://schemas.openxmlformats.org/officeDocument/2006/relationships/powerPivotData" Target="model/item.data"/><Relationship Id="rId3" Type="http://purl.oclc.org/ooxml/officeDocument/relationships/worksheet" Target="worksheets/sheet3.xml"/><Relationship Id="rId7" Type="http://purl.oclc.org/ooxml/officeDocument/relationships/pivotCacheDefinition" Target="pivotCache/pivotCacheDefinition2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pivotCacheDefinition" Target="pivotCache/pivotCacheDefinition1.xml"/><Relationship Id="rId11" Type="http://purl.oclc.org/ooxml/officeDocument/relationships/styles" Target="styles.xml"/><Relationship Id="rId5" Type="http://purl.oclc.org/ooxml/officeDocument/relationships/externalLink" Target="externalLinks/externalLink1.xml"/><Relationship Id="rId10" Type="http://purl.oclc.org/ooxml/officeDocument/relationships/connections" Target="connections.xml"/><Relationship Id="rId4" Type="http://purl.oclc.org/ooxml/officeDocument/relationships/worksheet" Target="worksheets/sheet4.xml"/><Relationship Id="rId9" Type="http://purl.oclc.org/ooxml/officeDocument/relationships/theme" Target="theme/theme1.xml"/><Relationship Id="rId14" Type="http://purl.oclc.org/ooxml/officeDocument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Maryland</a:t>
            </a:r>
            <a:r>
              <a:rPr lang="en-US" baseline="0%"/>
              <a:t> VS Northeast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71220472440945"/>
          <c:y val="0.24939596092155147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1F-47F7-A60C-9F9F993CBF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1F-47F7-A60C-9F9F993CBFB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%"/>
                    <a:lumOff val="75%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dk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2"/>
              <c:pt idx="0">
                <c:v>Maryland</c:v>
              </c:pt>
              <c:pt idx="1">
                <c:v>Northeast</c:v>
              </c:pt>
            </c:strLit>
          </c:cat>
          <c:val>
            <c:numLit>
              <c:formatCode>General</c:formatCode>
              <c:ptCount val="2"/>
              <c:pt idx="0">
                <c:v>0.32087112286249475</c:v>
              </c:pt>
              <c:pt idx="1">
                <c:v>0.67912887713750525</c:v>
              </c:pt>
            </c:numLit>
          </c:val>
          <c:extLst>
            <c:ext xmlns:c16="http://schemas.microsoft.com/office/drawing/2014/chart" uri="{C3380CC4-5D6E-409C-BE32-E72D297353CC}">
              <c16:uniqueId val="{00000004-6A1F-47F7-A60C-9F9F993CB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285750</xdr:colOff>
      <xdr:row>14</xdr:row>
      <xdr:rowOff>25400</xdr:rowOff>
    </xdr:from>
    <xdr:to>
      <xdr:col>3</xdr:col>
      <xdr:colOff>882650</xdr:colOff>
      <xdr:row>29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CBF1D8-B63A-4A2B-9BB0-47ABDECA6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Sheet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3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naomi tewolde" refreshedDateIso="2026-04-30T10:19:16.390000227838754325" createdVersion="8" refreshedVersion="8" minRefreshableVersion="3" recordCount="49" xr:uid="{72F6132A-F12D-438E-90E5-E18331C802C5}">
  <cacheSource type="worksheet">
    <worksheetSource name="Q5Query"/>
  </cacheSource>
  <cacheFields count="4">
    <cacheField name="StoreId" numFmtId="0">
      <sharedItems containsSemiMixedTypes="0" containsString="0" containsNumber="1" containsInteger="1" minValue="730" maxValue="839" count="49">
        <n v="736"/>
        <n v="835"/>
        <n v="817"/>
        <n v="838"/>
        <n v="734"/>
        <n v="807"/>
        <n v="810"/>
        <n v="823"/>
        <n v="822"/>
        <n v="814"/>
        <n v="812"/>
        <n v="820"/>
        <n v="806"/>
        <n v="737"/>
        <n v="735"/>
        <n v="739"/>
        <n v="830"/>
        <n v="824"/>
        <n v="816"/>
        <n v="834"/>
        <n v="733"/>
        <n v="833"/>
        <n v="839"/>
        <n v="804"/>
        <n v="821"/>
        <n v="732"/>
        <n v="809"/>
        <n v="827"/>
        <n v="813"/>
        <n v="818"/>
        <n v="836"/>
        <n v="828"/>
        <n v="738"/>
        <n v="831"/>
        <n v="811"/>
        <n v="730"/>
        <n v="829"/>
        <n v="825"/>
        <n v="801"/>
        <n v="805"/>
        <n v="731"/>
        <n v="819"/>
        <n v="826"/>
        <n v="815"/>
        <n v="802"/>
        <n v="803"/>
        <n v="808"/>
        <n v="832"/>
        <n v="837"/>
      </sharedItems>
    </cacheField>
    <cacheField name="Region" numFmtId="0">
      <sharedItems count="1">
        <s v="Northeast"/>
      </sharedItems>
    </cacheField>
    <cacheField name="Store_Revenue" numFmtId="0">
      <sharedItems containsSemiMixedTypes="0" containsString="0" containsNumber="1" minValue="67112.570000000007" maxValue="8708119"/>
    </cacheField>
    <cacheField name="Store_Rank" numFmtId="0">
      <sharedItems containsSemiMixedTypes="0" containsString="0" containsNumber="1" containsInteger="1" minValue="1" maxValue="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naomi tewolde" refreshedDateIso="2026-04-30T10:27:04.3600001558661450" createdVersion="8" refreshedVersion="8" minRefreshableVersion="3" recordCount="288" xr:uid="{CAB278B5-A008-4807-9510-BAA2B358CEEF}">
  <cacheSource type="worksheet">
    <worksheetSource name="Q4Query"/>
  </cacheSource>
  <cacheFields count="5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ategory" numFmtId="0">
      <sharedItems count="6">
        <s v="Apparel and Merchandise"/>
        <s v="Art Supplies"/>
        <s v="Books (General)"/>
        <s v="Stationery and Supplies"/>
        <s v="Technology &amp; Accessories"/>
        <s v="Textbooks"/>
      </sharedItems>
    </cacheField>
    <cacheField name="Number_of_Transactions" numFmtId="0">
      <sharedItems containsSemiMixedTypes="0" containsString="0" containsNumber="1" containsInteger="1" minValue="106" maxValue="583"/>
    </cacheField>
    <cacheField name="Avg_Transaction" numFmtId="0">
      <sharedItems containsSemiMixedTypes="0" containsString="0" containsNumber="1" minValue="9.4481199999999994" maxValue="524.805446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naomi tewolde" refreshedDateIso="2026-04-30T10:45:58.12999969348311300" createdVersion="8" refreshedVersion="8" minRefreshableVersion="3" recordCount="2" xr:uid="{7DF1B14A-2E5A-4A66-8B03-7E221230D589}">
  <cacheSource type="worksheet">
    <worksheetSource name="Q3Query"/>
  </cacheSource>
  <cacheFields count="2">
    <cacheField name="Location" numFmtId="0">
      <sharedItems count="2">
        <s v="Maryland"/>
        <s v="Northeast"/>
      </sharedItems>
    </cacheField>
    <cacheField name="Total_Revenue" numFmtId="0">
      <sharedItems containsSemiMixedTypes="0" containsString="0" containsNumber="1" minValue="11451615.09" maxValue="24237526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49">
  <r>
    <x v="0"/>
    <x v="0"/>
    <n v="8708119"/>
    <n v="1"/>
  </r>
  <r>
    <x v="1"/>
    <x v="0"/>
    <n v="623163.53"/>
    <n v="2"/>
  </r>
  <r>
    <x v="2"/>
    <x v="0"/>
    <n v="602183.43999999994"/>
    <n v="3"/>
  </r>
  <r>
    <x v="3"/>
    <x v="0"/>
    <n v="597565.68000000005"/>
    <n v="4"/>
  </r>
  <r>
    <x v="4"/>
    <x v="0"/>
    <n v="584675.92000000004"/>
    <n v="5"/>
  </r>
  <r>
    <x v="5"/>
    <x v="0"/>
    <n v="338009.1"/>
    <n v="6"/>
  </r>
  <r>
    <x v="6"/>
    <x v="0"/>
    <n v="335547.81"/>
    <n v="7"/>
  </r>
  <r>
    <x v="7"/>
    <x v="0"/>
    <n v="332611.76"/>
    <n v="8"/>
  </r>
  <r>
    <x v="8"/>
    <x v="0"/>
    <n v="330505.46999999997"/>
    <n v="9"/>
  </r>
  <r>
    <x v="9"/>
    <x v="0"/>
    <n v="328860.51"/>
    <n v="10"/>
  </r>
  <r>
    <x v="10"/>
    <x v="0"/>
    <n v="322039.24"/>
    <n v="11"/>
  </r>
  <r>
    <x v="11"/>
    <x v="0"/>
    <n v="321998.55"/>
    <n v="12"/>
  </r>
  <r>
    <x v="12"/>
    <x v="0"/>
    <n v="320516.53000000003"/>
    <n v="13"/>
  </r>
  <r>
    <x v="13"/>
    <x v="0"/>
    <n v="320441.24"/>
    <n v="14"/>
  </r>
  <r>
    <x v="14"/>
    <x v="0"/>
    <n v="319394.58"/>
    <n v="15"/>
  </r>
  <r>
    <x v="15"/>
    <x v="0"/>
    <n v="318511.03999999998"/>
    <n v="16"/>
  </r>
  <r>
    <x v="16"/>
    <x v="0"/>
    <n v="316775.48"/>
    <n v="17"/>
  </r>
  <r>
    <x v="17"/>
    <x v="0"/>
    <n v="314513.77"/>
    <n v="18"/>
  </r>
  <r>
    <x v="18"/>
    <x v="0"/>
    <n v="312873.59000000003"/>
    <n v="19"/>
  </r>
  <r>
    <x v="19"/>
    <x v="0"/>
    <n v="311056.42"/>
    <n v="20"/>
  </r>
  <r>
    <x v="20"/>
    <x v="0"/>
    <n v="310099.90000000002"/>
    <n v="21"/>
  </r>
  <r>
    <x v="21"/>
    <x v="0"/>
    <n v="307320.52"/>
    <n v="22"/>
  </r>
  <r>
    <x v="22"/>
    <x v="0"/>
    <n v="306326.3"/>
    <n v="23"/>
  </r>
  <r>
    <x v="23"/>
    <x v="0"/>
    <n v="305762.59999999998"/>
    <n v="24"/>
  </r>
  <r>
    <x v="24"/>
    <x v="0"/>
    <n v="303761.90999999997"/>
    <n v="25"/>
  </r>
  <r>
    <x v="25"/>
    <x v="0"/>
    <n v="303433.61"/>
    <n v="26"/>
  </r>
  <r>
    <x v="26"/>
    <x v="0"/>
    <n v="302049.65000000002"/>
    <n v="27"/>
  </r>
  <r>
    <x v="27"/>
    <x v="0"/>
    <n v="301703.77"/>
    <n v="28"/>
  </r>
  <r>
    <x v="28"/>
    <x v="0"/>
    <n v="301281.5"/>
    <n v="29"/>
  </r>
  <r>
    <x v="29"/>
    <x v="0"/>
    <n v="300919.98"/>
    <n v="30"/>
  </r>
  <r>
    <x v="30"/>
    <x v="0"/>
    <n v="300358.95"/>
    <n v="31"/>
  </r>
  <r>
    <x v="31"/>
    <x v="0"/>
    <n v="299936.24"/>
    <n v="32"/>
  </r>
  <r>
    <x v="32"/>
    <x v="0"/>
    <n v="298074.49"/>
    <n v="33"/>
  </r>
  <r>
    <x v="33"/>
    <x v="0"/>
    <n v="296244.33"/>
    <n v="34"/>
  </r>
  <r>
    <x v="34"/>
    <x v="0"/>
    <n v="295443.42"/>
    <n v="35"/>
  </r>
  <r>
    <x v="35"/>
    <x v="0"/>
    <n v="295201.28999999998"/>
    <n v="36"/>
  </r>
  <r>
    <x v="36"/>
    <x v="0"/>
    <n v="293676.93"/>
    <n v="37"/>
  </r>
  <r>
    <x v="37"/>
    <x v="0"/>
    <n v="292353.59000000003"/>
    <n v="38"/>
  </r>
  <r>
    <x v="38"/>
    <x v="0"/>
    <n v="290883.71000000002"/>
    <n v="39"/>
  </r>
  <r>
    <x v="39"/>
    <x v="0"/>
    <n v="289633.52"/>
    <n v="40"/>
  </r>
  <r>
    <x v="40"/>
    <x v="0"/>
    <n v="288865.31"/>
    <n v="41"/>
  </r>
  <r>
    <x v="41"/>
    <x v="0"/>
    <n v="287452.08"/>
    <n v="42"/>
  </r>
  <r>
    <x v="42"/>
    <x v="0"/>
    <n v="285704.59000000003"/>
    <n v="43"/>
  </r>
  <r>
    <x v="43"/>
    <x v="0"/>
    <n v="279646.07"/>
    <n v="44"/>
  </r>
  <r>
    <x v="44"/>
    <x v="0"/>
    <n v="276965.55"/>
    <n v="45"/>
  </r>
  <r>
    <x v="45"/>
    <x v="0"/>
    <n v="269375.90999999997"/>
    <n v="46"/>
  </r>
  <r>
    <x v="46"/>
    <x v="0"/>
    <n v="266982.83"/>
    <n v="47"/>
  </r>
  <r>
    <x v="47"/>
    <x v="0"/>
    <n v="261593.2"/>
    <n v="48"/>
  </r>
  <r>
    <x v="48"/>
    <x v="0"/>
    <n v="67112.570000000007"/>
    <n v="49"/>
  </r>
</pivotCacheRecords>
</file>

<file path=xl/pivotCache/pivotCacheRecords2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288">
  <r>
    <x v="0"/>
    <x v="0"/>
    <x v="0"/>
    <n v="260"/>
    <n v="32.004384999999999"/>
  </r>
  <r>
    <x v="0"/>
    <x v="0"/>
    <x v="1"/>
    <n v="263"/>
    <n v="30.896426000000002"/>
  </r>
  <r>
    <x v="0"/>
    <x v="0"/>
    <x v="2"/>
    <n v="295"/>
    <n v="36.289186000000001"/>
  </r>
  <r>
    <x v="0"/>
    <x v="0"/>
    <x v="3"/>
    <n v="247"/>
    <n v="10.384857999999999"/>
  </r>
  <r>
    <x v="0"/>
    <x v="0"/>
    <x v="4"/>
    <n v="287"/>
    <n v="406.776341"/>
  </r>
  <r>
    <x v="0"/>
    <x v="0"/>
    <x v="5"/>
    <n v="246"/>
    <n v="177.24723599999999"/>
  </r>
  <r>
    <x v="0"/>
    <x v="1"/>
    <x v="0"/>
    <n v="210"/>
    <n v="31.296429"/>
  </r>
  <r>
    <x v="0"/>
    <x v="1"/>
    <x v="1"/>
    <n v="229"/>
    <n v="31.054366999999999"/>
  </r>
  <r>
    <x v="0"/>
    <x v="1"/>
    <x v="2"/>
    <n v="281"/>
    <n v="30.81427"/>
  </r>
  <r>
    <x v="0"/>
    <x v="1"/>
    <x v="3"/>
    <n v="246"/>
    <n v="10.912967"/>
  </r>
  <r>
    <x v="0"/>
    <x v="1"/>
    <x v="4"/>
    <n v="287"/>
    <n v="466.11540100000002"/>
  </r>
  <r>
    <x v="0"/>
    <x v="1"/>
    <x v="5"/>
    <n v="220"/>
    <n v="176.03163599999999"/>
  </r>
  <r>
    <x v="0"/>
    <x v="2"/>
    <x v="0"/>
    <n v="247"/>
    <n v="33.786113"/>
  </r>
  <r>
    <x v="0"/>
    <x v="2"/>
    <x v="1"/>
    <n v="232"/>
    <n v="31.238578"/>
  </r>
  <r>
    <x v="0"/>
    <x v="2"/>
    <x v="2"/>
    <n v="235"/>
    <n v="32.031277000000003"/>
  </r>
  <r>
    <x v="0"/>
    <x v="2"/>
    <x v="3"/>
    <n v="243"/>
    <n v="10.570206000000001"/>
  </r>
  <r>
    <x v="0"/>
    <x v="2"/>
    <x v="4"/>
    <n v="319"/>
    <n v="434.92758600000002"/>
  </r>
  <r>
    <x v="0"/>
    <x v="2"/>
    <x v="5"/>
    <n v="255"/>
    <n v="179.60058799999999"/>
  </r>
  <r>
    <x v="0"/>
    <x v="3"/>
    <x v="0"/>
    <n v="221"/>
    <n v="31.822489000000001"/>
  </r>
  <r>
    <x v="0"/>
    <x v="3"/>
    <x v="1"/>
    <n v="226"/>
    <n v="30.272698999999999"/>
  </r>
  <r>
    <x v="0"/>
    <x v="3"/>
    <x v="2"/>
    <n v="242"/>
    <n v="28.343098999999999"/>
  </r>
  <r>
    <x v="0"/>
    <x v="3"/>
    <x v="3"/>
    <n v="247"/>
    <n v="11.027813999999999"/>
  </r>
  <r>
    <x v="0"/>
    <x v="3"/>
    <x v="4"/>
    <n v="271"/>
    <n v="387.06239900000003"/>
  </r>
  <r>
    <x v="0"/>
    <x v="3"/>
    <x v="5"/>
    <n v="287"/>
    <n v="176.491185"/>
  </r>
  <r>
    <x v="0"/>
    <x v="4"/>
    <x v="0"/>
    <n v="245"/>
    <n v="31.685347"/>
  </r>
  <r>
    <x v="0"/>
    <x v="4"/>
    <x v="1"/>
    <n v="235"/>
    <n v="32.374979000000003"/>
  </r>
  <r>
    <x v="0"/>
    <x v="4"/>
    <x v="2"/>
    <n v="264"/>
    <n v="31.693294999999999"/>
  </r>
  <r>
    <x v="0"/>
    <x v="4"/>
    <x v="3"/>
    <n v="236"/>
    <n v="10.399449000000001"/>
  </r>
  <r>
    <x v="0"/>
    <x v="4"/>
    <x v="4"/>
    <n v="290"/>
    <n v="434.240793"/>
  </r>
  <r>
    <x v="0"/>
    <x v="4"/>
    <x v="5"/>
    <n v="321"/>
    <n v="186.62473499999999"/>
  </r>
  <r>
    <x v="0"/>
    <x v="5"/>
    <x v="0"/>
    <n v="226"/>
    <n v="31.678894"/>
  </r>
  <r>
    <x v="0"/>
    <x v="5"/>
    <x v="1"/>
    <n v="198"/>
    <n v="30.451111000000001"/>
  </r>
  <r>
    <x v="0"/>
    <x v="5"/>
    <x v="2"/>
    <n v="279"/>
    <n v="30.050179"/>
  </r>
  <r>
    <x v="0"/>
    <x v="5"/>
    <x v="3"/>
    <n v="258"/>
    <n v="10.244650999999999"/>
  </r>
  <r>
    <x v="0"/>
    <x v="5"/>
    <x v="4"/>
    <n v="264"/>
    <n v="478.938106"/>
  </r>
  <r>
    <x v="0"/>
    <x v="5"/>
    <x v="5"/>
    <n v="262"/>
    <n v="181.92156499999999"/>
  </r>
  <r>
    <x v="0"/>
    <x v="6"/>
    <x v="0"/>
    <n v="264"/>
    <n v="30.766023000000001"/>
  </r>
  <r>
    <x v="0"/>
    <x v="6"/>
    <x v="1"/>
    <n v="210"/>
    <n v="32"/>
  </r>
  <r>
    <x v="0"/>
    <x v="6"/>
    <x v="2"/>
    <n v="297"/>
    <n v="34.243198999999997"/>
  </r>
  <r>
    <x v="0"/>
    <x v="6"/>
    <x v="3"/>
    <n v="267"/>
    <n v="10.416217"/>
  </r>
  <r>
    <x v="0"/>
    <x v="6"/>
    <x v="4"/>
    <n v="303"/>
    <n v="512.03415800000005"/>
  </r>
  <r>
    <x v="0"/>
    <x v="6"/>
    <x v="5"/>
    <n v="263"/>
    <n v="183.52923999999999"/>
  </r>
  <r>
    <x v="0"/>
    <x v="7"/>
    <x v="0"/>
    <n v="236"/>
    <n v="28.958898000000001"/>
  </r>
  <r>
    <x v="0"/>
    <x v="7"/>
    <x v="1"/>
    <n v="213"/>
    <n v="27.671925000000002"/>
  </r>
  <r>
    <x v="0"/>
    <x v="7"/>
    <x v="2"/>
    <n v="273"/>
    <n v="30.33652"/>
  </r>
  <r>
    <x v="0"/>
    <x v="7"/>
    <x v="3"/>
    <n v="265"/>
    <n v="11.026980999999999"/>
  </r>
  <r>
    <x v="0"/>
    <x v="7"/>
    <x v="4"/>
    <n v="303"/>
    <n v="423.52"/>
  </r>
  <r>
    <x v="0"/>
    <x v="7"/>
    <x v="5"/>
    <n v="279"/>
    <n v="183.671685"/>
  </r>
  <r>
    <x v="0"/>
    <x v="8"/>
    <x v="0"/>
    <n v="216"/>
    <n v="30.622129999999999"/>
  </r>
  <r>
    <x v="0"/>
    <x v="8"/>
    <x v="1"/>
    <n v="219"/>
    <n v="31.660364999999999"/>
  </r>
  <r>
    <x v="0"/>
    <x v="8"/>
    <x v="2"/>
    <n v="245"/>
    <n v="30.940204000000001"/>
  </r>
  <r>
    <x v="0"/>
    <x v="8"/>
    <x v="3"/>
    <n v="250"/>
    <n v="9.4481199999999994"/>
  </r>
  <r>
    <x v="0"/>
    <x v="8"/>
    <x v="4"/>
    <n v="238"/>
    <n v="386.35600799999997"/>
  </r>
  <r>
    <x v="0"/>
    <x v="8"/>
    <x v="5"/>
    <n v="248"/>
    <n v="175.44205600000001"/>
  </r>
  <r>
    <x v="0"/>
    <x v="9"/>
    <x v="0"/>
    <n v="237"/>
    <n v="31.936540000000001"/>
  </r>
  <r>
    <x v="0"/>
    <x v="9"/>
    <x v="1"/>
    <n v="238"/>
    <n v="32.466807000000003"/>
  </r>
  <r>
    <x v="0"/>
    <x v="9"/>
    <x v="2"/>
    <n v="301"/>
    <n v="33.367508000000001"/>
  </r>
  <r>
    <x v="0"/>
    <x v="9"/>
    <x v="3"/>
    <n v="254"/>
    <n v="10.582756"/>
  </r>
  <r>
    <x v="0"/>
    <x v="9"/>
    <x v="4"/>
    <n v="282"/>
    <n v="433.54790800000001"/>
  </r>
  <r>
    <x v="0"/>
    <x v="9"/>
    <x v="5"/>
    <n v="281"/>
    <n v="178.41587200000001"/>
  </r>
  <r>
    <x v="0"/>
    <x v="10"/>
    <x v="0"/>
    <n v="250"/>
    <n v="32.504399999999997"/>
  </r>
  <r>
    <x v="0"/>
    <x v="10"/>
    <x v="1"/>
    <n v="221"/>
    <n v="28.248507"/>
  </r>
  <r>
    <x v="0"/>
    <x v="10"/>
    <x v="2"/>
    <n v="239"/>
    <n v="29.483388999999999"/>
  </r>
  <r>
    <x v="0"/>
    <x v="10"/>
    <x v="3"/>
    <n v="266"/>
    <n v="11.036466000000001"/>
  </r>
  <r>
    <x v="0"/>
    <x v="10"/>
    <x v="4"/>
    <n v="288"/>
    <n v="437.049306"/>
  </r>
  <r>
    <x v="0"/>
    <x v="10"/>
    <x v="5"/>
    <n v="287"/>
    <n v="181.68529599999999"/>
  </r>
  <r>
    <x v="0"/>
    <x v="11"/>
    <x v="0"/>
    <n v="259"/>
    <n v="33.985328000000003"/>
  </r>
  <r>
    <x v="0"/>
    <x v="11"/>
    <x v="1"/>
    <n v="221"/>
    <n v="34.319276000000002"/>
  </r>
  <r>
    <x v="0"/>
    <x v="11"/>
    <x v="2"/>
    <n v="271"/>
    <n v="32.448303000000003"/>
  </r>
  <r>
    <x v="0"/>
    <x v="11"/>
    <x v="3"/>
    <n v="287"/>
    <n v="10.247213"/>
  </r>
  <r>
    <x v="0"/>
    <x v="11"/>
    <x v="4"/>
    <n v="291"/>
    <n v="487.61518899999999"/>
  </r>
  <r>
    <x v="0"/>
    <x v="11"/>
    <x v="5"/>
    <n v="305"/>
    <n v="184.667508"/>
  </r>
  <r>
    <x v="1"/>
    <x v="0"/>
    <x v="0"/>
    <n v="354"/>
    <n v="33.889944"/>
  </r>
  <r>
    <x v="1"/>
    <x v="0"/>
    <x v="1"/>
    <n v="270"/>
    <n v="33.073222000000001"/>
  </r>
  <r>
    <x v="1"/>
    <x v="0"/>
    <x v="2"/>
    <n v="317"/>
    <n v="37.586215000000003"/>
  </r>
  <r>
    <x v="1"/>
    <x v="0"/>
    <x v="3"/>
    <n v="328"/>
    <n v="10.543811"/>
  </r>
  <r>
    <x v="1"/>
    <x v="0"/>
    <x v="4"/>
    <n v="382"/>
    <n v="462.33073300000001"/>
  </r>
  <r>
    <x v="1"/>
    <x v="0"/>
    <x v="5"/>
    <n v="203"/>
    <n v="168.952956"/>
  </r>
  <r>
    <x v="1"/>
    <x v="1"/>
    <x v="0"/>
    <n v="291"/>
    <n v="32.534844999999997"/>
  </r>
  <r>
    <x v="1"/>
    <x v="1"/>
    <x v="1"/>
    <n v="261"/>
    <n v="31.903639999999999"/>
  </r>
  <r>
    <x v="1"/>
    <x v="1"/>
    <x v="2"/>
    <n v="284"/>
    <n v="29.190035000000002"/>
  </r>
  <r>
    <x v="1"/>
    <x v="1"/>
    <x v="3"/>
    <n v="302"/>
    <n v="10.402583"/>
  </r>
  <r>
    <x v="1"/>
    <x v="1"/>
    <x v="4"/>
    <n v="339"/>
    <n v="462.38516199999998"/>
  </r>
  <r>
    <x v="1"/>
    <x v="1"/>
    <x v="5"/>
    <n v="171"/>
    <n v="170.59613999999999"/>
  </r>
  <r>
    <x v="1"/>
    <x v="2"/>
    <x v="0"/>
    <n v="317"/>
    <n v="32.86918"/>
  </r>
  <r>
    <x v="1"/>
    <x v="2"/>
    <x v="1"/>
    <n v="267"/>
    <n v="32.658202000000003"/>
  </r>
  <r>
    <x v="1"/>
    <x v="2"/>
    <x v="2"/>
    <n v="333"/>
    <n v="30.78012"/>
  </r>
  <r>
    <x v="1"/>
    <x v="2"/>
    <x v="3"/>
    <n v="350"/>
    <n v="10.192171"/>
  </r>
  <r>
    <x v="1"/>
    <x v="2"/>
    <x v="4"/>
    <n v="317"/>
    <n v="453.23078900000002"/>
  </r>
  <r>
    <x v="1"/>
    <x v="2"/>
    <x v="5"/>
    <n v="209"/>
    <n v="171.13220100000001"/>
  </r>
  <r>
    <x v="1"/>
    <x v="3"/>
    <x v="0"/>
    <n v="328"/>
    <n v="32.138323"/>
  </r>
  <r>
    <x v="1"/>
    <x v="3"/>
    <x v="1"/>
    <n v="273"/>
    <n v="30.515971"/>
  </r>
  <r>
    <x v="1"/>
    <x v="3"/>
    <x v="2"/>
    <n v="326"/>
    <n v="31.787147000000001"/>
  </r>
  <r>
    <x v="1"/>
    <x v="3"/>
    <x v="3"/>
    <n v="348"/>
    <n v="10.265287000000001"/>
  </r>
  <r>
    <x v="1"/>
    <x v="3"/>
    <x v="4"/>
    <n v="381"/>
    <n v="484.20548600000001"/>
  </r>
  <r>
    <x v="1"/>
    <x v="3"/>
    <x v="5"/>
    <n v="212"/>
    <n v="170.118066"/>
  </r>
  <r>
    <x v="1"/>
    <x v="4"/>
    <x v="0"/>
    <n v="323"/>
    <n v="30.622848000000001"/>
  </r>
  <r>
    <x v="1"/>
    <x v="4"/>
    <x v="1"/>
    <n v="284"/>
    <n v="33.255282000000001"/>
  </r>
  <r>
    <x v="1"/>
    <x v="4"/>
    <x v="2"/>
    <n v="286"/>
    <n v="32.182761999999997"/>
  </r>
  <r>
    <x v="1"/>
    <x v="4"/>
    <x v="3"/>
    <n v="335"/>
    <n v="10.154507000000001"/>
  </r>
  <r>
    <x v="1"/>
    <x v="4"/>
    <x v="4"/>
    <n v="349"/>
    <n v="491.46853900000002"/>
  </r>
  <r>
    <x v="1"/>
    <x v="4"/>
    <x v="5"/>
    <n v="198"/>
    <n v="165.692677"/>
  </r>
  <r>
    <x v="1"/>
    <x v="5"/>
    <x v="0"/>
    <n v="300"/>
    <n v="31.368167"/>
  </r>
  <r>
    <x v="1"/>
    <x v="5"/>
    <x v="1"/>
    <n v="257"/>
    <n v="32.43"/>
  </r>
  <r>
    <x v="1"/>
    <x v="5"/>
    <x v="2"/>
    <n v="301"/>
    <n v="32.165548000000001"/>
  </r>
  <r>
    <x v="1"/>
    <x v="5"/>
    <x v="3"/>
    <n v="322"/>
    <n v="9.8221430000000005"/>
  </r>
  <r>
    <x v="1"/>
    <x v="5"/>
    <x v="4"/>
    <n v="332"/>
    <n v="516.63250000000005"/>
  </r>
  <r>
    <x v="1"/>
    <x v="5"/>
    <x v="5"/>
    <n v="241"/>
    <n v="172.16560200000001"/>
  </r>
  <r>
    <x v="1"/>
    <x v="6"/>
    <x v="0"/>
    <n v="314"/>
    <n v="32.776369000000003"/>
  </r>
  <r>
    <x v="1"/>
    <x v="6"/>
    <x v="1"/>
    <n v="258"/>
    <n v="29.939146999999998"/>
  </r>
  <r>
    <x v="1"/>
    <x v="6"/>
    <x v="2"/>
    <n v="293"/>
    <n v="31.283652"/>
  </r>
  <r>
    <x v="1"/>
    <x v="6"/>
    <x v="3"/>
    <n v="306"/>
    <n v="10.785588000000001"/>
  </r>
  <r>
    <x v="1"/>
    <x v="6"/>
    <x v="4"/>
    <n v="338"/>
    <n v="412.80760400000003"/>
  </r>
  <r>
    <x v="1"/>
    <x v="6"/>
    <x v="5"/>
    <n v="277"/>
    <n v="175.64368200000001"/>
  </r>
  <r>
    <x v="1"/>
    <x v="7"/>
    <x v="0"/>
    <n v="299"/>
    <n v="34.006722000000003"/>
  </r>
  <r>
    <x v="1"/>
    <x v="7"/>
    <x v="1"/>
    <n v="273"/>
    <n v="30.897949000000001"/>
  </r>
  <r>
    <x v="1"/>
    <x v="7"/>
    <x v="2"/>
    <n v="333"/>
    <n v="33.141652000000001"/>
  </r>
  <r>
    <x v="1"/>
    <x v="7"/>
    <x v="3"/>
    <n v="324"/>
    <n v="10.23892"/>
  </r>
  <r>
    <x v="1"/>
    <x v="7"/>
    <x v="4"/>
    <n v="325"/>
    <n v="462.04138499999999"/>
  </r>
  <r>
    <x v="1"/>
    <x v="7"/>
    <x v="5"/>
    <n v="283"/>
    <n v="177.16109499999999"/>
  </r>
  <r>
    <x v="1"/>
    <x v="8"/>
    <x v="0"/>
    <n v="279"/>
    <n v="33.627167999999998"/>
  </r>
  <r>
    <x v="1"/>
    <x v="8"/>
    <x v="1"/>
    <n v="229"/>
    <n v="31.063668"/>
  </r>
  <r>
    <x v="1"/>
    <x v="8"/>
    <x v="2"/>
    <n v="299"/>
    <n v="32.658026999999997"/>
  </r>
  <r>
    <x v="1"/>
    <x v="8"/>
    <x v="3"/>
    <n v="304"/>
    <n v="10.613586"/>
  </r>
  <r>
    <x v="1"/>
    <x v="8"/>
    <x v="4"/>
    <n v="335"/>
    <n v="447.19489600000003"/>
  </r>
  <r>
    <x v="1"/>
    <x v="8"/>
    <x v="5"/>
    <n v="283"/>
    <n v="170.81710200000001"/>
  </r>
  <r>
    <x v="1"/>
    <x v="9"/>
    <x v="0"/>
    <n v="321"/>
    <n v="30.681899999999999"/>
  </r>
  <r>
    <x v="1"/>
    <x v="9"/>
    <x v="1"/>
    <n v="263"/>
    <n v="29.712700000000002"/>
  </r>
  <r>
    <x v="1"/>
    <x v="9"/>
    <x v="2"/>
    <n v="294"/>
    <n v="29.397822999999999"/>
  </r>
  <r>
    <x v="1"/>
    <x v="9"/>
    <x v="3"/>
    <n v="329"/>
    <n v="10.429970000000001"/>
  </r>
  <r>
    <x v="1"/>
    <x v="9"/>
    <x v="4"/>
    <n v="363"/>
    <n v="458.19435299999998"/>
  </r>
  <r>
    <x v="1"/>
    <x v="9"/>
    <x v="5"/>
    <n v="301"/>
    <n v="172.86687699999999"/>
  </r>
  <r>
    <x v="1"/>
    <x v="10"/>
    <x v="0"/>
    <n v="282"/>
    <n v="32.719113"/>
  </r>
  <r>
    <x v="1"/>
    <x v="10"/>
    <x v="1"/>
    <n v="254"/>
    <n v="29.179684999999999"/>
  </r>
  <r>
    <x v="1"/>
    <x v="10"/>
    <x v="2"/>
    <n v="273"/>
    <n v="31.858242000000001"/>
  </r>
  <r>
    <x v="1"/>
    <x v="10"/>
    <x v="3"/>
    <n v="299"/>
    <n v="10.748227"/>
  </r>
  <r>
    <x v="1"/>
    <x v="10"/>
    <x v="4"/>
    <n v="370"/>
    <n v="441.745"/>
  </r>
  <r>
    <x v="1"/>
    <x v="10"/>
    <x v="5"/>
    <n v="297"/>
    <n v="168.43380500000001"/>
  </r>
  <r>
    <x v="1"/>
    <x v="11"/>
    <x v="0"/>
    <n v="294"/>
    <n v="31.855646"/>
  </r>
  <r>
    <x v="1"/>
    <x v="11"/>
    <x v="1"/>
    <n v="289"/>
    <n v="33.198304"/>
  </r>
  <r>
    <x v="1"/>
    <x v="11"/>
    <x v="2"/>
    <n v="282"/>
    <n v="32.277020999999998"/>
  </r>
  <r>
    <x v="1"/>
    <x v="11"/>
    <x v="3"/>
    <n v="318"/>
    <n v="11.021981"/>
  </r>
  <r>
    <x v="1"/>
    <x v="11"/>
    <x v="4"/>
    <n v="351"/>
    <n v="437.07051300000001"/>
  </r>
  <r>
    <x v="1"/>
    <x v="11"/>
    <x v="5"/>
    <n v="304"/>
    <n v="167.95585500000001"/>
  </r>
  <r>
    <x v="2"/>
    <x v="0"/>
    <x v="0"/>
    <n v="318"/>
    <n v="31.691164000000001"/>
  </r>
  <r>
    <x v="2"/>
    <x v="0"/>
    <x v="1"/>
    <n v="287"/>
    <n v="31.61561"/>
  </r>
  <r>
    <x v="2"/>
    <x v="0"/>
    <x v="2"/>
    <n v="316"/>
    <n v="29.142309999999998"/>
  </r>
  <r>
    <x v="2"/>
    <x v="0"/>
    <x v="3"/>
    <n v="338"/>
    <n v="10.467781"/>
  </r>
  <r>
    <x v="2"/>
    <x v="0"/>
    <x v="4"/>
    <n v="366"/>
    <n v="460.42636599999997"/>
  </r>
  <r>
    <x v="2"/>
    <x v="0"/>
    <x v="5"/>
    <n v="199"/>
    <n v="172.03864300000001"/>
  </r>
  <r>
    <x v="2"/>
    <x v="1"/>
    <x v="0"/>
    <n v="297"/>
    <n v="33.429966"/>
  </r>
  <r>
    <x v="2"/>
    <x v="1"/>
    <x v="1"/>
    <n v="248"/>
    <n v="33.557822999999999"/>
  </r>
  <r>
    <x v="2"/>
    <x v="1"/>
    <x v="2"/>
    <n v="313"/>
    <n v="30.745335000000001"/>
  </r>
  <r>
    <x v="2"/>
    <x v="1"/>
    <x v="3"/>
    <n v="325"/>
    <n v="10.120615000000001"/>
  </r>
  <r>
    <x v="2"/>
    <x v="1"/>
    <x v="4"/>
    <n v="299"/>
    <n v="459.98013400000002"/>
  </r>
  <r>
    <x v="2"/>
    <x v="1"/>
    <x v="5"/>
    <n v="189"/>
    <n v="170.339471"/>
  </r>
  <r>
    <x v="2"/>
    <x v="2"/>
    <x v="0"/>
    <n v="339"/>
    <n v="32.293894000000002"/>
  </r>
  <r>
    <x v="2"/>
    <x v="2"/>
    <x v="1"/>
    <n v="281"/>
    <n v="30.422419999999999"/>
  </r>
  <r>
    <x v="2"/>
    <x v="2"/>
    <x v="2"/>
    <n v="337"/>
    <n v="31.845341000000001"/>
  </r>
  <r>
    <x v="2"/>
    <x v="2"/>
    <x v="3"/>
    <n v="358"/>
    <n v="10.240531000000001"/>
  </r>
  <r>
    <x v="2"/>
    <x v="2"/>
    <x v="4"/>
    <n v="393"/>
    <n v="491.36020400000001"/>
  </r>
  <r>
    <x v="2"/>
    <x v="2"/>
    <x v="5"/>
    <n v="215"/>
    <n v="170.54"/>
  </r>
  <r>
    <x v="2"/>
    <x v="3"/>
    <x v="0"/>
    <n v="312"/>
    <n v="30.400385"/>
  </r>
  <r>
    <x v="2"/>
    <x v="3"/>
    <x v="1"/>
    <n v="276"/>
    <n v="33.429927999999997"/>
  </r>
  <r>
    <x v="2"/>
    <x v="3"/>
    <x v="2"/>
    <n v="275"/>
    <n v="32.127273000000002"/>
  </r>
  <r>
    <x v="2"/>
    <x v="3"/>
    <x v="3"/>
    <n v="325"/>
    <n v="10.178369"/>
  </r>
  <r>
    <x v="2"/>
    <x v="3"/>
    <x v="4"/>
    <n v="337"/>
    <n v="483.383531"/>
  </r>
  <r>
    <x v="2"/>
    <x v="3"/>
    <x v="5"/>
    <n v="195"/>
    <n v="165.15938499999999"/>
  </r>
  <r>
    <x v="2"/>
    <x v="4"/>
    <x v="0"/>
    <n v="306"/>
    <n v="31.381536000000001"/>
  </r>
  <r>
    <x v="2"/>
    <x v="4"/>
    <x v="1"/>
    <n v="269"/>
    <n v="32.415799"/>
  </r>
  <r>
    <x v="2"/>
    <x v="4"/>
    <x v="2"/>
    <n v="315"/>
    <n v="31.705905000000001"/>
  </r>
  <r>
    <x v="2"/>
    <x v="4"/>
    <x v="3"/>
    <n v="336"/>
    <n v="9.9766670000000008"/>
  </r>
  <r>
    <x v="2"/>
    <x v="4"/>
    <x v="4"/>
    <n v="344"/>
    <n v="506.74947700000001"/>
  </r>
  <r>
    <x v="2"/>
    <x v="4"/>
    <x v="5"/>
    <n v="249"/>
    <n v="172.35959800000001"/>
  </r>
  <r>
    <x v="2"/>
    <x v="5"/>
    <x v="0"/>
    <n v="308"/>
    <n v="32.790519000000003"/>
  </r>
  <r>
    <x v="2"/>
    <x v="5"/>
    <x v="1"/>
    <n v="246"/>
    <n v="29.833171"/>
  </r>
  <r>
    <x v="2"/>
    <x v="5"/>
    <x v="2"/>
    <n v="279"/>
    <n v="31.758351000000001"/>
  </r>
  <r>
    <x v="2"/>
    <x v="5"/>
    <x v="3"/>
    <n v="292"/>
    <n v="10.653973000000001"/>
  </r>
  <r>
    <x v="2"/>
    <x v="5"/>
    <x v="4"/>
    <n v="326"/>
    <n v="419.41453999999999"/>
  </r>
  <r>
    <x v="2"/>
    <x v="5"/>
    <x v="5"/>
    <n v="269"/>
    <n v="175.56754599999999"/>
  </r>
  <r>
    <x v="2"/>
    <x v="6"/>
    <x v="0"/>
    <n v="299"/>
    <n v="34.006722000000003"/>
  </r>
  <r>
    <x v="2"/>
    <x v="6"/>
    <x v="1"/>
    <n v="273"/>
    <n v="30.897949000000001"/>
  </r>
  <r>
    <x v="2"/>
    <x v="6"/>
    <x v="2"/>
    <n v="333"/>
    <n v="33.141652000000001"/>
  </r>
  <r>
    <x v="2"/>
    <x v="6"/>
    <x v="3"/>
    <n v="324"/>
    <n v="10.23892"/>
  </r>
  <r>
    <x v="2"/>
    <x v="6"/>
    <x v="4"/>
    <n v="325"/>
    <n v="462.04138499999999"/>
  </r>
  <r>
    <x v="2"/>
    <x v="6"/>
    <x v="5"/>
    <n v="283"/>
    <n v="177.16109499999999"/>
  </r>
  <r>
    <x v="2"/>
    <x v="7"/>
    <x v="0"/>
    <n v="289"/>
    <n v="33.111902999999998"/>
  </r>
  <r>
    <x v="2"/>
    <x v="7"/>
    <x v="1"/>
    <n v="239"/>
    <n v="31.383305"/>
  </r>
  <r>
    <x v="2"/>
    <x v="7"/>
    <x v="2"/>
    <n v="306"/>
    <n v="32.400162999999999"/>
  </r>
  <r>
    <x v="2"/>
    <x v="7"/>
    <x v="3"/>
    <n v="316"/>
    <n v="10.688133000000001"/>
  </r>
  <r>
    <x v="2"/>
    <x v="7"/>
    <x v="4"/>
    <n v="346"/>
    <n v="447.79887300000001"/>
  </r>
  <r>
    <x v="2"/>
    <x v="7"/>
    <x v="5"/>
    <n v="291"/>
    <n v="170.32133999999999"/>
  </r>
  <r>
    <x v="2"/>
    <x v="8"/>
    <x v="0"/>
    <n v="311"/>
    <n v="31.066013000000002"/>
  </r>
  <r>
    <x v="2"/>
    <x v="8"/>
    <x v="1"/>
    <n v="253"/>
    <n v="29.357351999999999"/>
  </r>
  <r>
    <x v="2"/>
    <x v="8"/>
    <x v="2"/>
    <n v="287"/>
    <n v="29.593240000000002"/>
  </r>
  <r>
    <x v="2"/>
    <x v="8"/>
    <x v="3"/>
    <n v="317"/>
    <n v="10.348706999999999"/>
  </r>
  <r>
    <x v="2"/>
    <x v="8"/>
    <x v="4"/>
    <n v="352"/>
    <n v="457.94440300000002"/>
  </r>
  <r>
    <x v="2"/>
    <x v="8"/>
    <x v="5"/>
    <n v="293"/>
    <n v="173.415222"/>
  </r>
  <r>
    <x v="2"/>
    <x v="9"/>
    <x v="0"/>
    <n v="293"/>
    <n v="32.902183999999998"/>
  </r>
  <r>
    <x v="2"/>
    <x v="9"/>
    <x v="1"/>
    <n v="267"/>
    <n v="29.420375"/>
  </r>
  <r>
    <x v="2"/>
    <x v="9"/>
    <x v="2"/>
    <n v="282"/>
    <n v="31.824999999999999"/>
  </r>
  <r>
    <x v="2"/>
    <x v="9"/>
    <x v="3"/>
    <n v="303"/>
    <n v="10.729241"/>
  </r>
  <r>
    <x v="2"/>
    <x v="9"/>
    <x v="4"/>
    <n v="378"/>
    <n v="438.29425900000001"/>
  </r>
  <r>
    <x v="2"/>
    <x v="9"/>
    <x v="5"/>
    <n v="310"/>
    <n v="167.93609699999999"/>
  </r>
  <r>
    <x v="2"/>
    <x v="10"/>
    <x v="0"/>
    <n v="283"/>
    <n v="31.632543999999999"/>
  </r>
  <r>
    <x v="2"/>
    <x v="10"/>
    <x v="1"/>
    <n v="276"/>
    <n v="33.154746000000003"/>
  </r>
  <r>
    <x v="2"/>
    <x v="10"/>
    <x v="2"/>
    <n v="273"/>
    <n v="32.325164999999998"/>
  </r>
  <r>
    <x v="2"/>
    <x v="10"/>
    <x v="3"/>
    <n v="314"/>
    <n v="11.04379"/>
  </r>
  <r>
    <x v="2"/>
    <x v="10"/>
    <x v="4"/>
    <n v="343"/>
    <n v="440.76434399999999"/>
  </r>
  <r>
    <x v="2"/>
    <x v="10"/>
    <x v="5"/>
    <n v="291"/>
    <n v="168.464708"/>
  </r>
  <r>
    <x v="2"/>
    <x v="11"/>
    <x v="0"/>
    <n v="354"/>
    <n v="33.889944"/>
  </r>
  <r>
    <x v="2"/>
    <x v="11"/>
    <x v="1"/>
    <n v="270"/>
    <n v="33.073222000000001"/>
  </r>
  <r>
    <x v="2"/>
    <x v="11"/>
    <x v="2"/>
    <n v="317"/>
    <n v="37.586215000000003"/>
  </r>
  <r>
    <x v="2"/>
    <x v="11"/>
    <x v="3"/>
    <n v="328"/>
    <n v="10.543811"/>
  </r>
  <r>
    <x v="2"/>
    <x v="11"/>
    <x v="4"/>
    <n v="382"/>
    <n v="462.33073300000001"/>
  </r>
  <r>
    <x v="2"/>
    <x v="11"/>
    <x v="5"/>
    <n v="203"/>
    <n v="168.952956"/>
  </r>
  <r>
    <x v="3"/>
    <x v="0"/>
    <x v="0"/>
    <n v="475"/>
    <n v="33.746062999999999"/>
  </r>
  <r>
    <x v="3"/>
    <x v="0"/>
    <x v="1"/>
    <n v="408"/>
    <n v="34.943407000000001"/>
  </r>
  <r>
    <x v="3"/>
    <x v="0"/>
    <x v="2"/>
    <n v="460"/>
    <n v="33.595370000000003"/>
  </r>
  <r>
    <x v="3"/>
    <x v="0"/>
    <x v="3"/>
    <n v="566"/>
    <n v="10.276113"/>
  </r>
  <r>
    <x v="3"/>
    <x v="0"/>
    <x v="4"/>
    <n v="416"/>
    <n v="500.49189899999999"/>
  </r>
  <r>
    <x v="3"/>
    <x v="0"/>
    <x v="5"/>
    <n v="106"/>
    <n v="170.883679"/>
  </r>
  <r>
    <x v="3"/>
    <x v="1"/>
    <x v="0"/>
    <n v="430"/>
    <n v="34.746535000000002"/>
  </r>
  <r>
    <x v="3"/>
    <x v="1"/>
    <x v="1"/>
    <n v="366"/>
    <n v="30.421913"/>
  </r>
  <r>
    <x v="3"/>
    <x v="1"/>
    <x v="2"/>
    <n v="410"/>
    <n v="33.599049000000001"/>
  </r>
  <r>
    <x v="3"/>
    <x v="1"/>
    <x v="3"/>
    <n v="443"/>
    <n v="10.146974999999999"/>
  </r>
  <r>
    <x v="3"/>
    <x v="1"/>
    <x v="4"/>
    <n v="380"/>
    <n v="524.80544699999996"/>
  </r>
  <r>
    <x v="3"/>
    <x v="1"/>
    <x v="5"/>
    <n v="113"/>
    <n v="164.12973500000001"/>
  </r>
  <r>
    <x v="3"/>
    <x v="2"/>
    <x v="0"/>
    <n v="424"/>
    <n v="33.087099000000002"/>
  </r>
  <r>
    <x v="3"/>
    <x v="2"/>
    <x v="1"/>
    <n v="369"/>
    <n v="37.830840000000002"/>
  </r>
  <r>
    <x v="3"/>
    <x v="2"/>
    <x v="2"/>
    <n v="451"/>
    <n v="35.426119999999997"/>
  </r>
  <r>
    <x v="3"/>
    <x v="2"/>
    <x v="3"/>
    <n v="477"/>
    <n v="10.711174"/>
  </r>
  <r>
    <x v="3"/>
    <x v="2"/>
    <x v="4"/>
    <n v="439"/>
    <n v="485.46635500000002"/>
  </r>
  <r>
    <x v="3"/>
    <x v="2"/>
    <x v="5"/>
    <n v="179"/>
    <n v="176.13514000000001"/>
  </r>
  <r>
    <x v="3"/>
    <x v="3"/>
    <x v="0"/>
    <n v="483"/>
    <n v="30.859213"/>
  </r>
  <r>
    <x v="3"/>
    <x v="3"/>
    <x v="1"/>
    <n v="390"/>
    <n v="35.594127999999998"/>
  </r>
  <r>
    <x v="3"/>
    <x v="3"/>
    <x v="2"/>
    <n v="415"/>
    <n v="33.338433999999999"/>
  </r>
  <r>
    <x v="3"/>
    <x v="3"/>
    <x v="3"/>
    <n v="583"/>
    <n v="10.783345000000001"/>
  </r>
  <r>
    <x v="3"/>
    <x v="3"/>
    <x v="4"/>
    <n v="254"/>
    <n v="456.42330700000002"/>
  </r>
  <r>
    <x v="3"/>
    <x v="3"/>
    <x v="5"/>
    <n v="236"/>
    <n v="178.56889799999999"/>
  </r>
  <r>
    <x v="3"/>
    <x v="4"/>
    <x v="0"/>
    <n v="479"/>
    <n v="31.474447000000001"/>
  </r>
  <r>
    <x v="3"/>
    <x v="4"/>
    <x v="1"/>
    <n v="392"/>
    <n v="35.418571"/>
  </r>
  <r>
    <x v="3"/>
    <x v="4"/>
    <x v="2"/>
    <n v="456"/>
    <n v="31.232389999999999"/>
  </r>
  <r>
    <x v="3"/>
    <x v="4"/>
    <x v="3"/>
    <n v="542"/>
    <n v="10.313689999999999"/>
  </r>
  <r>
    <x v="3"/>
    <x v="4"/>
    <x v="4"/>
    <n v="267"/>
    <n v="523.384457"/>
  </r>
  <r>
    <x v="3"/>
    <x v="4"/>
    <x v="5"/>
    <n v="217"/>
    <n v="171.606866"/>
  </r>
  <r>
    <x v="3"/>
    <x v="5"/>
    <x v="0"/>
    <n v="475"/>
    <n v="32.156568"/>
  </r>
  <r>
    <x v="3"/>
    <x v="5"/>
    <x v="1"/>
    <n v="399"/>
    <n v="34.116767000000003"/>
  </r>
  <r>
    <x v="3"/>
    <x v="5"/>
    <x v="2"/>
    <n v="426"/>
    <n v="31.787534999999998"/>
  </r>
  <r>
    <x v="3"/>
    <x v="5"/>
    <x v="3"/>
    <n v="474"/>
    <n v="10.261751"/>
  </r>
  <r>
    <x v="3"/>
    <x v="5"/>
    <x v="4"/>
    <n v="265"/>
    <n v="504.60803800000002"/>
  </r>
  <r>
    <x v="3"/>
    <x v="5"/>
    <x v="5"/>
    <n v="212"/>
    <n v="169.669434"/>
  </r>
  <r>
    <x v="3"/>
    <x v="6"/>
    <x v="0"/>
    <n v="420"/>
    <n v="29.940071"/>
  </r>
  <r>
    <x v="3"/>
    <x v="6"/>
    <x v="1"/>
    <n v="338"/>
    <n v="35.989438"/>
  </r>
  <r>
    <x v="3"/>
    <x v="6"/>
    <x v="2"/>
    <n v="390"/>
    <n v="33.489538000000003"/>
  </r>
  <r>
    <x v="3"/>
    <x v="6"/>
    <x v="3"/>
    <n v="482"/>
    <n v="10.527967"/>
  </r>
  <r>
    <x v="3"/>
    <x v="6"/>
    <x v="4"/>
    <n v="478"/>
    <n v="486.27650599999998"/>
  </r>
  <r>
    <x v="3"/>
    <x v="6"/>
    <x v="5"/>
    <n v="207"/>
    <n v="169.14169100000001"/>
  </r>
  <r>
    <x v="3"/>
    <x v="7"/>
    <x v="0"/>
    <n v="418"/>
    <n v="32.714306000000001"/>
  </r>
  <r>
    <x v="3"/>
    <x v="7"/>
    <x v="1"/>
    <n v="305"/>
    <n v="32.983376999999997"/>
  </r>
  <r>
    <x v="3"/>
    <x v="7"/>
    <x v="2"/>
    <n v="357"/>
    <n v="33.864705999999998"/>
  </r>
  <r>
    <x v="3"/>
    <x v="7"/>
    <x v="3"/>
    <n v="436"/>
    <n v="10.790528"/>
  </r>
  <r>
    <x v="3"/>
    <x v="7"/>
    <x v="4"/>
    <n v="497"/>
    <n v="464.52770600000002"/>
  </r>
  <r>
    <x v="3"/>
    <x v="7"/>
    <x v="5"/>
    <n v="237"/>
    <n v="171.097004"/>
  </r>
  <r>
    <x v="3"/>
    <x v="8"/>
    <x v="0"/>
    <n v="360"/>
    <n v="32.177222"/>
  </r>
  <r>
    <x v="3"/>
    <x v="8"/>
    <x v="1"/>
    <n v="322"/>
    <n v="34.220373000000002"/>
  </r>
  <r>
    <x v="3"/>
    <x v="8"/>
    <x v="2"/>
    <n v="356"/>
    <n v="31.918735999999999"/>
  </r>
  <r>
    <x v="3"/>
    <x v="8"/>
    <x v="3"/>
    <n v="436"/>
    <n v="10.762362"/>
  </r>
  <r>
    <x v="3"/>
    <x v="8"/>
    <x v="4"/>
    <n v="470"/>
    <n v="495.12987199999998"/>
  </r>
  <r>
    <x v="3"/>
    <x v="8"/>
    <x v="5"/>
    <n v="198"/>
    <n v="166.341061"/>
  </r>
  <r>
    <x v="3"/>
    <x v="9"/>
    <x v="0"/>
    <n v="490"/>
    <n v="31.457979999999999"/>
  </r>
  <r>
    <x v="3"/>
    <x v="9"/>
    <x v="1"/>
    <n v="402"/>
    <n v="32.050423000000002"/>
  </r>
  <r>
    <x v="3"/>
    <x v="9"/>
    <x v="2"/>
    <n v="394"/>
    <n v="35.513122000000003"/>
  </r>
  <r>
    <x v="3"/>
    <x v="9"/>
    <x v="3"/>
    <n v="487"/>
    <n v="10.338234"/>
  </r>
  <r>
    <x v="3"/>
    <x v="9"/>
    <x v="4"/>
    <n v="558"/>
    <n v="476.83410400000002"/>
  </r>
  <r>
    <x v="3"/>
    <x v="9"/>
    <x v="5"/>
    <n v="274"/>
    <n v="168.98061999999999"/>
  </r>
  <r>
    <x v="3"/>
    <x v="10"/>
    <x v="0"/>
    <n v="401"/>
    <n v="32.229776000000001"/>
  </r>
  <r>
    <x v="3"/>
    <x v="10"/>
    <x v="1"/>
    <n v="338"/>
    <n v="32.819763000000002"/>
  </r>
  <r>
    <x v="3"/>
    <x v="10"/>
    <x v="2"/>
    <n v="357"/>
    <n v="29.535910000000001"/>
  </r>
  <r>
    <x v="3"/>
    <x v="10"/>
    <x v="3"/>
    <n v="455"/>
    <n v="10.558967000000001"/>
  </r>
  <r>
    <x v="3"/>
    <x v="10"/>
    <x v="4"/>
    <n v="477"/>
    <n v="490.50054499999999"/>
  </r>
  <r>
    <x v="3"/>
    <x v="10"/>
    <x v="5"/>
    <n v="190"/>
    <n v="162.420368"/>
  </r>
  <r>
    <x v="3"/>
    <x v="11"/>
    <x v="0"/>
    <n v="410"/>
    <n v="31.119902"/>
  </r>
  <r>
    <x v="3"/>
    <x v="11"/>
    <x v="1"/>
    <n v="357"/>
    <n v="31.574369999999998"/>
  </r>
  <r>
    <x v="3"/>
    <x v="11"/>
    <x v="2"/>
    <n v="387"/>
    <n v="31.096848000000001"/>
  </r>
  <r>
    <x v="3"/>
    <x v="11"/>
    <x v="3"/>
    <n v="467"/>
    <n v="9.8769380000000009"/>
  </r>
  <r>
    <x v="3"/>
    <x v="11"/>
    <x v="4"/>
    <n v="539"/>
    <n v="461.28645599999999"/>
  </r>
  <r>
    <x v="3"/>
    <x v="11"/>
    <x v="5"/>
    <n v="250"/>
    <n v="171.27348000000001"/>
  </r>
</pivotCacheRecords>
</file>

<file path=xl/pivotCache/pivotCacheRecords3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2">
  <r>
    <x v="0"/>
    <n v="11451615.09"/>
  </r>
  <r>
    <x v="1"/>
    <n v="24237526.98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3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94ED05BA-A42B-4AAD-A370-7F7E7D58FFEB}" name="PivotTable7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reID">
  <location ref="A3:B53" firstHeaderRow="1" firstDataRow="1" firstDataCol="1" rowPageCount="1" colPageCount="1"/>
  <pivotFields count="4">
    <pivotField axis="axisRow" showAll="0">
      <items count="50">
        <item x="35"/>
        <item x="40"/>
        <item x="25"/>
        <item x="20"/>
        <item x="4"/>
        <item x="14"/>
        <item x="0"/>
        <item x="13"/>
        <item x="32"/>
        <item x="15"/>
        <item x="38"/>
        <item x="44"/>
        <item x="45"/>
        <item x="23"/>
        <item x="39"/>
        <item x="12"/>
        <item x="5"/>
        <item x="46"/>
        <item x="26"/>
        <item x="6"/>
        <item x="34"/>
        <item x="10"/>
        <item x="28"/>
        <item x="9"/>
        <item x="43"/>
        <item x="18"/>
        <item x="2"/>
        <item x="29"/>
        <item x="41"/>
        <item x="11"/>
        <item x="24"/>
        <item x="8"/>
        <item x="7"/>
        <item x="17"/>
        <item x="37"/>
        <item x="42"/>
        <item x="27"/>
        <item x="31"/>
        <item x="36"/>
        <item x="16"/>
        <item x="33"/>
        <item x="47"/>
        <item x="21"/>
        <item x="19"/>
        <item x="1"/>
        <item x="30"/>
        <item x="48"/>
        <item x="3"/>
        <item x="22"/>
        <item t="default"/>
      </items>
    </pivotField>
    <pivotField axis="axisPage" showAll="0">
      <items count="2">
        <item x="0"/>
        <item t="default"/>
      </items>
    </pivotField>
    <pivotField dataField="1" showAll="0"/>
    <pivotField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pageFields count="1">
    <pageField fld="1" item="0" hier="-1"/>
  </pageFields>
  <dataFields count="1">
    <dataField name="Sum of Store_Revenue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20730C84-7AFE-46F7-A959-84C5E00DE75B}" name="PivotTable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C10" firstHeaderRow="0" firstDataRow="1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Number_of_Transactions" fld="3" baseField="0" baseItem="0"/>
    <dataField name="Sum of Avg_Transaction" fld="4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8C16937-7A38-4606-BBA0-37DC318F2E78}" name="PivotTable1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Q4:S11" firstHeaderRow="0" firstDataRow="1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Number_of_Transactions" fld="3" showDataAs="percentOfTotal" baseField="2" baseItem="0" numFmtId="10"/>
    <dataField name="Sum of Avg_Transaction" fld="4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E6474196-F6B2-4EB5-8484-B4D1378531FD}" name="PivotTable1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tate to Region">
  <location ref="A10:B13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otal_Revenue" fld="1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7" xr16:uid="{E6C7E8C9-0588-4CAA-B983-502EFB462A37}" autoFormatId="16" applyNumberFormats="0" applyBorderFormats="0" applyFontFormats="0" applyPatternFormats="0" applyAlignmentFormats="0" applyWidthHeightFormats="0">
  <queryTableRefresh nextId="5">
    <queryTableFields count="4">
      <queryTableField id="1" name="StoreId" tableColumnId="1"/>
      <queryTableField id="2" name="Region" tableColumnId="2"/>
      <queryTableField id="3" name="Store_Revenue" tableColumnId="3"/>
      <queryTableField id="4" name="Store_Rank" tableColumnId="4"/>
    </queryTableFields>
  </queryTableRefresh>
</queryTable>
</file>

<file path=xl/queryTables/queryTable2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4" xr16:uid="{B8D6E476-6D88-4947-B704-758C7C0F94CF}" autoFormatId="16" applyNumberFormats="0" applyBorderFormats="0" applyFontFormats="0" applyPatternFormats="0" applyAlignmentFormats="0" applyWidthHeightFormats="0">
  <queryTableRefresh nextId="4">
    <queryTableFields count="2">
      <queryTableField id="1" name="Location" tableColumnId="1"/>
      <queryTableField id="2" name="Total_Revenue" tableColumnId="2"/>
    </queryTableFields>
  </queryTableRefresh>
</queryTable>
</file>

<file path=xl/queryTables/queryTable3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2" connectionId="8" xr16:uid="{B9FBE1AD-31D6-4C92-BB73-42AA52959C80}" autoFormatId="16" applyNumberFormats="0" applyBorderFormats="0" applyFontFormats="0" applyPatternFormats="0" applyAlignmentFormats="0" applyWidthHeightFormats="0">
  <queryTableRefresh nextId="5">
    <queryTableFields count="4">
      <queryTableField id="1" name="StoreId" tableColumnId="1"/>
      <queryTableField id="2" name="Region" tableColumnId="2"/>
      <queryTableField id="3" name="Store_Revenue" tableColumnId="3"/>
      <queryTableField id="4" name="Store_Rank" tableColumnId="4"/>
    </queryTableFields>
  </queryTableRefresh>
</queryTable>
</file>

<file path=xl/queryTables/queryTable4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3" connectionId="6" xr16:uid="{8028EFC8-3C13-4E7C-8122-C2695819BFF7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Month" tableColumnId="2"/>
      <queryTableField id="3" name="Category" tableColumnId="3"/>
      <queryTableField id="4" name="Number_of_Transactions" tableColumnId="4"/>
      <queryTableField id="5" name="Avg_Transaction" tableColumnId="5"/>
    </queryTableFields>
  </queryTableRefresh>
</queryTable>
</file>

<file path=xl/queryTables/queryTable5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4" connectionId="2" xr16:uid="{8593978D-2F1C-4DD1-9F1D-F6464F4D8F88}" autoFormatId="16" applyNumberFormats="0" applyBorderFormats="0" applyFontFormats="0" applyPatternFormats="0" applyAlignmentFormats="0" applyWidthHeightFormats="0">
  <queryTableRefresh nextId="5">
    <queryTableFields count="4">
      <queryTableField id="1" name="Sales_Territory" tableColumnId="1"/>
      <queryTableField id="2" name="Total_Revenue" tableColumnId="2"/>
      <queryTableField id="3" name="Start_Date" tableColumnId="3"/>
      <queryTableField id="4" name="End_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5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99824F1F-3719-47AB-A1C7-75839D0A458B}" name="Q5Query" displayName="Q5Query" ref="A2:D51" tableType="queryTable" totalsRowShown="0" headerRowDxfId="9">
  <autoFilter ref="A2:D51" xr:uid="{99824F1F-3719-47AB-A1C7-75839D0A458B}"/>
  <sortState xmlns:xlrd2="http://schemas.microsoft.com/office/spreadsheetml/2017/richdata2" ref="A3:D51">
    <sortCondition descending="1" ref="C2:C51"/>
  </sortState>
  <tableColumns count="4">
    <tableColumn id="1" xr3:uid="{81C33697-F6C8-405B-A283-4DC4A708FE29}" uniqueName="1" name="StoreId" queryTableFieldId="1"/>
    <tableColumn id="2" xr3:uid="{634B3E01-3CF7-4BC5-877F-A09594D86719}" uniqueName="2" name="Region" queryTableFieldId="2" dataDxfId="12"/>
    <tableColumn id="3" xr3:uid="{DC8CF8E4-FBAA-4AF6-82C3-C45B81C362FE}" uniqueName="3" name="Store_Revenue" queryTableFieldId="3"/>
    <tableColumn id="4" xr3:uid="{77F79BF4-F9CE-4803-BBAC-378A0429EC38}" uniqueName="4" name="Store_Rank" queryTableFieldId="4"/>
  </tableColumns>
  <tableStyleInfo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F08D2593-539C-46BA-A4DF-F3B3CE5F8FD9}" name="Q3Query" displayName="Q3Query" ref="A2:B4" tableType="queryTable" totalsRowShown="0" headerRowDxfId="10">
  <autoFilter ref="A2:B4" xr:uid="{F08D2593-539C-46BA-A4DF-F3B3CE5F8FD9}"/>
  <tableColumns count="2">
    <tableColumn id="1" xr3:uid="{BF7CE916-6888-45B8-A987-F8D44B7D8194}" uniqueName="1" name="Location" queryTableFieldId="1" dataDxfId="11"/>
    <tableColumn id="2" xr3:uid="{9C0C3494-605E-4A8E-8D92-828DD4F70640}" uniqueName="2" name="Total_Revenue" queryTableFieldId="2"/>
  </tableColumns>
  <tableStyleInfo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6" xr:uid="{A799EF23-D97E-411B-9E7A-F2BB6E5F885D}" name="Q5Query7" displayName="Q5Query7" ref="E2:H51" tableType="queryTable" totalsRowShown="0" headerRowDxfId="8">
  <autoFilter ref="E2:H51" xr:uid="{A799EF23-D97E-411B-9E7A-F2BB6E5F885D}"/>
  <sortState xmlns:xlrd2="http://schemas.microsoft.com/office/spreadsheetml/2017/richdata2" ref="E3:H51">
    <sortCondition descending="1" ref="G2:G51"/>
  </sortState>
  <tableColumns count="4">
    <tableColumn id="1" xr3:uid="{A22BFF30-7E8B-4FC1-B7C4-310888189FAE}" uniqueName="1" name="StoreId" queryTableFieldId="1"/>
    <tableColumn id="2" xr3:uid="{E20C10ED-B00E-45FD-8C25-E176752C6D85}" uniqueName="2" name="Region" queryTableFieldId="2" dataDxfId="7"/>
    <tableColumn id="3" xr3:uid="{778D4C82-9AA7-49E7-9C80-0DFF11663628}" uniqueName="3" name="Store_Revenue" queryTableFieldId="3"/>
    <tableColumn id="4" xr3:uid="{1FB1EBC5-0348-4459-8F63-805B9901AE3F}" uniqueName="4" name="Store_Rank" queryTableFieldId="4"/>
  </tableColumns>
  <tableStyleInfo showFirstColumn="0" showLastColumn="0" showRowStripes="1" showColumnStripes="0"/>
</table>
</file>

<file path=xl/tables/table4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8" xr:uid="{8C25A5F5-90D9-46DD-A061-DF48A243F5CD}" name="Q4Query9" displayName="Q4Query9" ref="K2:O290" tableType="queryTable" totalsRowShown="0">
  <autoFilter ref="K2:O290" xr:uid="{8C25A5F5-90D9-46DD-A061-DF48A243F5CD}"/>
  <tableColumns count="5">
    <tableColumn id="1" xr3:uid="{5F251262-0C5E-4D90-99EE-16F3A3AD92B7}" uniqueName="1" name="Year" queryTableFieldId="1"/>
    <tableColumn id="2" xr3:uid="{8422F2F3-806A-42FF-8011-7DB83BA98028}" uniqueName="2" name="Month" queryTableFieldId="2"/>
    <tableColumn id="3" xr3:uid="{DDF2E1BB-14DF-4E56-8140-11DC690892EB}" uniqueName="3" name="Category" queryTableFieldId="3" dataDxfId="6"/>
    <tableColumn id="4" xr3:uid="{D6B291DD-B36E-4FDA-9858-23A4922CEA9A}" uniqueName="4" name="Number_of_Transactions" queryTableFieldId="4"/>
    <tableColumn id="5" xr3:uid="{33CB29E8-BB96-4A0E-A40A-C6EEF4D94DFC}" uniqueName="5" name="Avg_Transaction" queryTableFieldId="5"/>
  </tableColumns>
  <tableStyleInfo showFirstColumn="0" showLastColumn="0" showRowStripes="1" showColumnStripes="0"/>
</table>
</file>

<file path=xl/tables/table5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9" xr:uid="{340608DF-2D4F-4FFA-A2F7-A27E4CD18FD6}" name="Q1Query10" displayName="Q1Query10" ref="A7:D8" tableType="queryTable" totalsRowShown="0" headerRowDxfId="5" dataDxfId="4">
  <autoFilter ref="A7:D8" xr:uid="{340608DF-2D4F-4FFA-A2F7-A27E4CD18FD6}"/>
  <tableColumns count="4">
    <tableColumn id="1" xr3:uid="{6EB80E5F-0A62-46BB-80A3-196337B78909}" uniqueName="1" name="Sales_Territory" queryTableFieldId="1" dataDxfId="3"/>
    <tableColumn id="2" xr3:uid="{C3FFD1D1-0913-4FB7-BBAC-87ABFECA3154}" uniqueName="2" name="Total_Revenue" queryTableFieldId="2" dataDxfId="2"/>
    <tableColumn id="3" xr3:uid="{DAD1B448-B3F1-4D36-A794-F25CEC0CCA18}" uniqueName="3" name="Start_Date" queryTableFieldId="3" dataDxfId="1"/>
    <tableColumn id="4" xr3:uid="{1987E368-89E7-4BDE-BB4D-4E74A731B629}" uniqueName="4" name="End_Date" queryTableFieldId="4" dataDxfId="0"/>
  </tableColumns>
  <tableStyleInfo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drawing" Target="../drawings/drawing1.xml"/><Relationship Id="rId7" Type="http://purl.oclc.org/ooxml/officeDocument/relationships/table" Target="../tables/table5.xml"/><Relationship Id="rId2" Type="http://purl.oclc.org/ooxml/officeDocument/relationships/pivotTable" Target="../pivotTables/pivotTable4.xml"/><Relationship Id="rId1" Type="http://purl.oclc.org/ooxml/officeDocument/relationships/pivotTable" Target="../pivotTables/pivotTable3.xml"/><Relationship Id="rId6" Type="http://purl.oclc.org/ooxml/officeDocument/relationships/table" Target="../tables/table4.xml"/><Relationship Id="rId5" Type="http://purl.oclc.org/ooxml/officeDocument/relationships/table" Target="../tables/table3.xml"/><Relationship Id="rId4" Type="http://purl.oclc.org/ooxml/officeDocument/relationships/table" Target="../tables/table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4371-62EC-4974-A2C8-1ADC3FA26218}">
  <dimension ref="A1:B53"/>
  <sheetViews>
    <sheetView workbookViewId="0">
      <selection activeCell="B3" sqref="B3"/>
    </sheetView>
  </sheetViews>
  <sheetFormatPr defaultRowHeight="14.5" x14ac:dyDescent="0.35"/>
  <cols>
    <col min="1" max="1" width="10.08984375" bestFit="1" customWidth="1"/>
    <col min="2" max="2" width="18.81640625" bestFit="1" customWidth="1"/>
  </cols>
  <sheetData>
    <row r="1" spans="1:2" x14ac:dyDescent="0.35">
      <c r="A1" s="19" t="s">
        <v>1</v>
      </c>
      <c r="B1" s="18" t="s">
        <v>4</v>
      </c>
    </row>
    <row r="3" spans="1:2" x14ac:dyDescent="0.35">
      <c r="A3" s="8" t="s">
        <v>30</v>
      </c>
      <c r="B3" s="3" t="s">
        <v>5</v>
      </c>
    </row>
    <row r="4" spans="1:2" x14ac:dyDescent="0.35">
      <c r="A4" s="9">
        <v>730</v>
      </c>
      <c r="B4" s="10">
        <v>295201.28999999998</v>
      </c>
    </row>
    <row r="5" spans="1:2" x14ac:dyDescent="0.35">
      <c r="A5" s="11">
        <v>731</v>
      </c>
      <c r="B5" s="12">
        <v>288865.31</v>
      </c>
    </row>
    <row r="6" spans="1:2" x14ac:dyDescent="0.35">
      <c r="A6" s="11">
        <v>732</v>
      </c>
      <c r="B6" s="12">
        <v>303433.61</v>
      </c>
    </row>
    <row r="7" spans="1:2" x14ac:dyDescent="0.35">
      <c r="A7" s="11">
        <v>733</v>
      </c>
      <c r="B7" s="12">
        <v>310099.90000000002</v>
      </c>
    </row>
    <row r="8" spans="1:2" x14ac:dyDescent="0.35">
      <c r="A8" s="11">
        <v>734</v>
      </c>
      <c r="B8" s="12">
        <v>584675.92000000004</v>
      </c>
    </row>
    <row r="9" spans="1:2" x14ac:dyDescent="0.35">
      <c r="A9" s="11">
        <v>735</v>
      </c>
      <c r="B9" s="12">
        <v>319394.58</v>
      </c>
    </row>
    <row r="10" spans="1:2" x14ac:dyDescent="0.35">
      <c r="A10" s="11">
        <v>736</v>
      </c>
      <c r="B10" s="12">
        <v>8708119</v>
      </c>
    </row>
    <row r="11" spans="1:2" x14ac:dyDescent="0.35">
      <c r="A11" s="11">
        <v>737</v>
      </c>
      <c r="B11" s="12">
        <v>320441.24</v>
      </c>
    </row>
    <row r="12" spans="1:2" x14ac:dyDescent="0.35">
      <c r="A12" s="11">
        <v>738</v>
      </c>
      <c r="B12" s="12">
        <v>298074.49</v>
      </c>
    </row>
    <row r="13" spans="1:2" x14ac:dyDescent="0.35">
      <c r="A13" s="11">
        <v>739</v>
      </c>
      <c r="B13" s="12">
        <v>318511.03999999998</v>
      </c>
    </row>
    <row r="14" spans="1:2" x14ac:dyDescent="0.35">
      <c r="A14" s="11">
        <v>801</v>
      </c>
      <c r="B14" s="12">
        <v>290883.71000000002</v>
      </c>
    </row>
    <row r="15" spans="1:2" x14ac:dyDescent="0.35">
      <c r="A15" s="11">
        <v>802</v>
      </c>
      <c r="B15" s="12">
        <v>276965.55</v>
      </c>
    </row>
    <row r="16" spans="1:2" x14ac:dyDescent="0.35">
      <c r="A16" s="11">
        <v>803</v>
      </c>
      <c r="B16" s="12">
        <v>269375.90999999997</v>
      </c>
    </row>
    <row r="17" spans="1:2" x14ac:dyDescent="0.35">
      <c r="A17" s="11">
        <v>804</v>
      </c>
      <c r="B17" s="12">
        <v>305762.59999999998</v>
      </c>
    </row>
    <row r="18" spans="1:2" x14ac:dyDescent="0.35">
      <c r="A18" s="11">
        <v>805</v>
      </c>
      <c r="B18" s="12">
        <v>289633.52</v>
      </c>
    </row>
    <row r="19" spans="1:2" x14ac:dyDescent="0.35">
      <c r="A19" s="11">
        <v>806</v>
      </c>
      <c r="B19" s="12">
        <v>320516.53000000003</v>
      </c>
    </row>
    <row r="20" spans="1:2" x14ac:dyDescent="0.35">
      <c r="A20" s="11">
        <v>807</v>
      </c>
      <c r="B20" s="12">
        <v>338009.1</v>
      </c>
    </row>
    <row r="21" spans="1:2" x14ac:dyDescent="0.35">
      <c r="A21" s="11">
        <v>808</v>
      </c>
      <c r="B21" s="12">
        <v>266982.83</v>
      </c>
    </row>
    <row r="22" spans="1:2" x14ac:dyDescent="0.35">
      <c r="A22" s="11">
        <v>809</v>
      </c>
      <c r="B22" s="12">
        <v>302049.65000000002</v>
      </c>
    </row>
    <row r="23" spans="1:2" x14ac:dyDescent="0.35">
      <c r="A23" s="11">
        <v>810</v>
      </c>
      <c r="B23" s="12">
        <v>335547.81</v>
      </c>
    </row>
    <row r="24" spans="1:2" x14ac:dyDescent="0.35">
      <c r="A24" s="11">
        <v>811</v>
      </c>
      <c r="B24" s="12">
        <v>295443.42</v>
      </c>
    </row>
    <row r="25" spans="1:2" x14ac:dyDescent="0.35">
      <c r="A25" s="11">
        <v>812</v>
      </c>
      <c r="B25" s="12">
        <v>322039.24</v>
      </c>
    </row>
    <row r="26" spans="1:2" x14ac:dyDescent="0.35">
      <c r="A26" s="11">
        <v>813</v>
      </c>
      <c r="B26" s="12">
        <v>301281.5</v>
      </c>
    </row>
    <row r="27" spans="1:2" x14ac:dyDescent="0.35">
      <c r="A27" s="11">
        <v>814</v>
      </c>
      <c r="B27" s="12">
        <v>328860.51</v>
      </c>
    </row>
    <row r="28" spans="1:2" x14ac:dyDescent="0.35">
      <c r="A28" s="11">
        <v>815</v>
      </c>
      <c r="B28" s="12">
        <v>279646.07</v>
      </c>
    </row>
    <row r="29" spans="1:2" x14ac:dyDescent="0.35">
      <c r="A29" s="11">
        <v>816</v>
      </c>
      <c r="B29" s="12">
        <v>312873.59000000003</v>
      </c>
    </row>
    <row r="30" spans="1:2" x14ac:dyDescent="0.35">
      <c r="A30" s="11">
        <v>817</v>
      </c>
      <c r="B30" s="12">
        <v>602183.43999999994</v>
      </c>
    </row>
    <row r="31" spans="1:2" x14ac:dyDescent="0.35">
      <c r="A31" s="11">
        <v>818</v>
      </c>
      <c r="B31" s="12">
        <v>300919.98</v>
      </c>
    </row>
    <row r="32" spans="1:2" x14ac:dyDescent="0.35">
      <c r="A32" s="11">
        <v>819</v>
      </c>
      <c r="B32" s="12">
        <v>287452.08</v>
      </c>
    </row>
    <row r="33" spans="1:2" x14ac:dyDescent="0.35">
      <c r="A33" s="11">
        <v>820</v>
      </c>
      <c r="B33" s="12">
        <v>321998.55</v>
      </c>
    </row>
    <row r="34" spans="1:2" x14ac:dyDescent="0.35">
      <c r="A34" s="11">
        <v>821</v>
      </c>
      <c r="B34" s="12">
        <v>303761.90999999997</v>
      </c>
    </row>
    <row r="35" spans="1:2" x14ac:dyDescent="0.35">
      <c r="A35" s="11">
        <v>822</v>
      </c>
      <c r="B35" s="12">
        <v>330505.46999999997</v>
      </c>
    </row>
    <row r="36" spans="1:2" x14ac:dyDescent="0.35">
      <c r="A36" s="11">
        <v>823</v>
      </c>
      <c r="B36" s="12">
        <v>332611.76</v>
      </c>
    </row>
    <row r="37" spans="1:2" x14ac:dyDescent="0.35">
      <c r="A37" s="11">
        <v>824</v>
      </c>
      <c r="B37" s="12">
        <v>314513.77</v>
      </c>
    </row>
    <row r="38" spans="1:2" x14ac:dyDescent="0.35">
      <c r="A38" s="11">
        <v>825</v>
      </c>
      <c r="B38" s="12">
        <v>292353.59000000003</v>
      </c>
    </row>
    <row r="39" spans="1:2" x14ac:dyDescent="0.35">
      <c r="A39" s="11">
        <v>826</v>
      </c>
      <c r="B39" s="12">
        <v>285704.59000000003</v>
      </c>
    </row>
    <row r="40" spans="1:2" x14ac:dyDescent="0.35">
      <c r="A40" s="11">
        <v>827</v>
      </c>
      <c r="B40" s="12">
        <v>301703.77</v>
      </c>
    </row>
    <row r="41" spans="1:2" x14ac:dyDescent="0.35">
      <c r="A41" s="11">
        <v>828</v>
      </c>
      <c r="B41" s="12">
        <v>299936.24</v>
      </c>
    </row>
    <row r="42" spans="1:2" x14ac:dyDescent="0.35">
      <c r="A42" s="11">
        <v>829</v>
      </c>
      <c r="B42" s="12">
        <v>293676.93</v>
      </c>
    </row>
    <row r="43" spans="1:2" x14ac:dyDescent="0.35">
      <c r="A43" s="11">
        <v>830</v>
      </c>
      <c r="B43" s="12">
        <v>316775.48</v>
      </c>
    </row>
    <row r="44" spans="1:2" x14ac:dyDescent="0.35">
      <c r="A44" s="11">
        <v>831</v>
      </c>
      <c r="B44" s="12">
        <v>296244.33</v>
      </c>
    </row>
    <row r="45" spans="1:2" x14ac:dyDescent="0.35">
      <c r="A45" s="11">
        <v>832</v>
      </c>
      <c r="B45" s="12">
        <v>261593.2</v>
      </c>
    </row>
    <row r="46" spans="1:2" x14ac:dyDescent="0.35">
      <c r="A46" s="11">
        <v>833</v>
      </c>
      <c r="B46" s="12">
        <v>307320.52</v>
      </c>
    </row>
    <row r="47" spans="1:2" x14ac:dyDescent="0.35">
      <c r="A47" s="11">
        <v>834</v>
      </c>
      <c r="B47" s="12">
        <v>311056.42</v>
      </c>
    </row>
    <row r="48" spans="1:2" x14ac:dyDescent="0.35">
      <c r="A48" s="11">
        <v>835</v>
      </c>
      <c r="B48" s="12">
        <v>623163.53</v>
      </c>
    </row>
    <row r="49" spans="1:2" x14ac:dyDescent="0.35">
      <c r="A49" s="11">
        <v>836</v>
      </c>
      <c r="B49" s="12">
        <v>300358.95</v>
      </c>
    </row>
    <row r="50" spans="1:2" x14ac:dyDescent="0.35">
      <c r="A50" s="11">
        <v>837</v>
      </c>
      <c r="B50" s="12">
        <v>67112.570000000007</v>
      </c>
    </row>
    <row r="51" spans="1:2" x14ac:dyDescent="0.35">
      <c r="A51" s="11">
        <v>838</v>
      </c>
      <c r="B51" s="12">
        <v>597565.68000000005</v>
      </c>
    </row>
    <row r="52" spans="1:2" x14ac:dyDescent="0.35">
      <c r="A52" s="11">
        <v>839</v>
      </c>
      <c r="B52" s="12">
        <v>306326.3</v>
      </c>
    </row>
    <row r="53" spans="1:2" x14ac:dyDescent="0.35">
      <c r="A53" s="13" t="s">
        <v>7</v>
      </c>
      <c r="B53" s="4">
        <v>24237526.979999997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5EE0-6E8D-42B1-88F3-B78291D0E405}">
  <dimension ref="A1:D51"/>
  <sheetViews>
    <sheetView topLeftCell="A31" workbookViewId="0">
      <selection sqref="A1:D51"/>
    </sheetView>
  </sheetViews>
  <sheetFormatPr defaultRowHeight="14.5" x14ac:dyDescent="0.35"/>
  <cols>
    <col min="1" max="1" width="26.54296875" customWidth="1"/>
    <col min="2" max="2" width="8.90625" bestFit="1" customWidth="1"/>
    <col min="3" max="3" width="15.1796875" bestFit="1" customWidth="1"/>
    <col min="4" max="4" width="12.1796875" bestFit="1" customWidth="1"/>
  </cols>
  <sheetData>
    <row r="1" spans="1:4" x14ac:dyDescent="0.35">
      <c r="A1" s="20" t="s">
        <v>29</v>
      </c>
    </row>
    <row r="2" spans="1:4" x14ac:dyDescent="0.35">
      <c r="A2" s="21" t="s">
        <v>0</v>
      </c>
      <c r="B2" s="21" t="s">
        <v>1</v>
      </c>
      <c r="C2" s="21" t="s">
        <v>2</v>
      </c>
      <c r="D2" s="21" t="s">
        <v>3</v>
      </c>
    </row>
    <row r="3" spans="1:4" x14ac:dyDescent="0.35">
      <c r="A3">
        <v>736</v>
      </c>
      <c r="B3" s="1" t="s">
        <v>4</v>
      </c>
      <c r="C3">
        <v>8708119</v>
      </c>
      <c r="D3">
        <v>1</v>
      </c>
    </row>
    <row r="4" spans="1:4" x14ac:dyDescent="0.35">
      <c r="A4">
        <v>835</v>
      </c>
      <c r="B4" s="1" t="s">
        <v>4</v>
      </c>
      <c r="C4">
        <v>623163.53</v>
      </c>
      <c r="D4">
        <v>2</v>
      </c>
    </row>
    <row r="5" spans="1:4" x14ac:dyDescent="0.35">
      <c r="A5">
        <v>817</v>
      </c>
      <c r="B5" s="1" t="s">
        <v>4</v>
      </c>
      <c r="C5">
        <v>602183.43999999994</v>
      </c>
      <c r="D5">
        <v>3</v>
      </c>
    </row>
    <row r="6" spans="1:4" x14ac:dyDescent="0.35">
      <c r="A6">
        <v>838</v>
      </c>
      <c r="B6" s="1" t="s">
        <v>4</v>
      </c>
      <c r="C6">
        <v>597565.68000000005</v>
      </c>
      <c r="D6">
        <v>4</v>
      </c>
    </row>
    <row r="7" spans="1:4" x14ac:dyDescent="0.35">
      <c r="A7">
        <v>734</v>
      </c>
      <c r="B7" s="1" t="s">
        <v>4</v>
      </c>
      <c r="C7">
        <v>584675.92000000004</v>
      </c>
      <c r="D7">
        <v>5</v>
      </c>
    </row>
    <row r="8" spans="1:4" x14ac:dyDescent="0.35">
      <c r="A8">
        <v>807</v>
      </c>
      <c r="B8" s="1" t="s">
        <v>4</v>
      </c>
      <c r="C8">
        <v>338009.1</v>
      </c>
      <c r="D8">
        <v>6</v>
      </c>
    </row>
    <row r="9" spans="1:4" x14ac:dyDescent="0.35">
      <c r="A9">
        <v>810</v>
      </c>
      <c r="B9" s="1" t="s">
        <v>4</v>
      </c>
      <c r="C9">
        <v>335547.81</v>
      </c>
      <c r="D9">
        <v>7</v>
      </c>
    </row>
    <row r="10" spans="1:4" x14ac:dyDescent="0.35">
      <c r="A10">
        <v>823</v>
      </c>
      <c r="B10" s="1" t="s">
        <v>4</v>
      </c>
      <c r="C10">
        <v>332611.76</v>
      </c>
      <c r="D10">
        <v>8</v>
      </c>
    </row>
    <row r="11" spans="1:4" x14ac:dyDescent="0.35">
      <c r="A11">
        <v>822</v>
      </c>
      <c r="B11" s="1" t="s">
        <v>4</v>
      </c>
      <c r="C11">
        <v>330505.46999999997</v>
      </c>
      <c r="D11">
        <v>9</v>
      </c>
    </row>
    <row r="12" spans="1:4" x14ac:dyDescent="0.35">
      <c r="A12">
        <v>814</v>
      </c>
      <c r="B12" s="1" t="s">
        <v>4</v>
      </c>
      <c r="C12">
        <v>328860.51</v>
      </c>
      <c r="D12">
        <v>10</v>
      </c>
    </row>
    <row r="13" spans="1:4" x14ac:dyDescent="0.35">
      <c r="A13">
        <v>812</v>
      </c>
      <c r="B13" s="1" t="s">
        <v>4</v>
      </c>
      <c r="C13">
        <v>322039.24</v>
      </c>
      <c r="D13">
        <v>11</v>
      </c>
    </row>
    <row r="14" spans="1:4" x14ac:dyDescent="0.35">
      <c r="A14">
        <v>820</v>
      </c>
      <c r="B14" s="1" t="s">
        <v>4</v>
      </c>
      <c r="C14">
        <v>321998.55</v>
      </c>
      <c r="D14">
        <v>12</v>
      </c>
    </row>
    <row r="15" spans="1:4" x14ac:dyDescent="0.35">
      <c r="A15">
        <v>806</v>
      </c>
      <c r="B15" s="1" t="s">
        <v>4</v>
      </c>
      <c r="C15">
        <v>320516.53000000003</v>
      </c>
      <c r="D15">
        <v>13</v>
      </c>
    </row>
    <row r="16" spans="1:4" x14ac:dyDescent="0.35">
      <c r="A16">
        <v>737</v>
      </c>
      <c r="B16" s="1" t="s">
        <v>4</v>
      </c>
      <c r="C16">
        <v>320441.24</v>
      </c>
      <c r="D16">
        <v>14</v>
      </c>
    </row>
    <row r="17" spans="1:4" x14ac:dyDescent="0.35">
      <c r="A17">
        <v>735</v>
      </c>
      <c r="B17" s="1" t="s">
        <v>4</v>
      </c>
      <c r="C17">
        <v>319394.58</v>
      </c>
      <c r="D17">
        <v>15</v>
      </c>
    </row>
    <row r="18" spans="1:4" x14ac:dyDescent="0.35">
      <c r="A18">
        <v>739</v>
      </c>
      <c r="B18" s="1" t="s">
        <v>4</v>
      </c>
      <c r="C18">
        <v>318511.03999999998</v>
      </c>
      <c r="D18">
        <v>16</v>
      </c>
    </row>
    <row r="19" spans="1:4" x14ac:dyDescent="0.35">
      <c r="A19">
        <v>830</v>
      </c>
      <c r="B19" s="1" t="s">
        <v>4</v>
      </c>
      <c r="C19">
        <v>316775.48</v>
      </c>
      <c r="D19">
        <v>17</v>
      </c>
    </row>
    <row r="20" spans="1:4" x14ac:dyDescent="0.35">
      <c r="A20">
        <v>824</v>
      </c>
      <c r="B20" s="1" t="s">
        <v>4</v>
      </c>
      <c r="C20">
        <v>314513.77</v>
      </c>
      <c r="D20">
        <v>18</v>
      </c>
    </row>
    <row r="21" spans="1:4" x14ac:dyDescent="0.35">
      <c r="A21">
        <v>816</v>
      </c>
      <c r="B21" s="1" t="s">
        <v>4</v>
      </c>
      <c r="C21">
        <v>312873.59000000003</v>
      </c>
      <c r="D21">
        <v>19</v>
      </c>
    </row>
    <row r="22" spans="1:4" x14ac:dyDescent="0.35">
      <c r="A22">
        <v>834</v>
      </c>
      <c r="B22" s="1" t="s">
        <v>4</v>
      </c>
      <c r="C22">
        <v>311056.42</v>
      </c>
      <c r="D22">
        <v>20</v>
      </c>
    </row>
    <row r="23" spans="1:4" x14ac:dyDescent="0.35">
      <c r="A23">
        <v>733</v>
      </c>
      <c r="B23" s="1" t="s">
        <v>4</v>
      </c>
      <c r="C23">
        <v>310099.90000000002</v>
      </c>
      <c r="D23">
        <v>21</v>
      </c>
    </row>
    <row r="24" spans="1:4" x14ac:dyDescent="0.35">
      <c r="A24">
        <v>833</v>
      </c>
      <c r="B24" s="1" t="s">
        <v>4</v>
      </c>
      <c r="C24">
        <v>307320.52</v>
      </c>
      <c r="D24">
        <v>22</v>
      </c>
    </row>
    <row r="25" spans="1:4" x14ac:dyDescent="0.35">
      <c r="A25">
        <v>839</v>
      </c>
      <c r="B25" s="1" t="s">
        <v>4</v>
      </c>
      <c r="C25">
        <v>306326.3</v>
      </c>
      <c r="D25">
        <v>23</v>
      </c>
    </row>
    <row r="26" spans="1:4" x14ac:dyDescent="0.35">
      <c r="A26">
        <v>804</v>
      </c>
      <c r="B26" s="1" t="s">
        <v>4</v>
      </c>
      <c r="C26">
        <v>305762.59999999998</v>
      </c>
      <c r="D26">
        <v>24</v>
      </c>
    </row>
    <row r="27" spans="1:4" x14ac:dyDescent="0.35">
      <c r="A27">
        <v>821</v>
      </c>
      <c r="B27" s="1" t="s">
        <v>4</v>
      </c>
      <c r="C27">
        <v>303761.90999999997</v>
      </c>
      <c r="D27">
        <v>25</v>
      </c>
    </row>
    <row r="28" spans="1:4" x14ac:dyDescent="0.35">
      <c r="A28">
        <v>732</v>
      </c>
      <c r="B28" s="1" t="s">
        <v>4</v>
      </c>
      <c r="C28">
        <v>303433.61</v>
      </c>
      <c r="D28">
        <v>26</v>
      </c>
    </row>
    <row r="29" spans="1:4" x14ac:dyDescent="0.35">
      <c r="A29">
        <v>809</v>
      </c>
      <c r="B29" s="1" t="s">
        <v>4</v>
      </c>
      <c r="C29">
        <v>302049.65000000002</v>
      </c>
      <c r="D29">
        <v>27</v>
      </c>
    </row>
    <row r="30" spans="1:4" x14ac:dyDescent="0.35">
      <c r="A30">
        <v>827</v>
      </c>
      <c r="B30" s="1" t="s">
        <v>4</v>
      </c>
      <c r="C30">
        <v>301703.77</v>
      </c>
      <c r="D30">
        <v>28</v>
      </c>
    </row>
    <row r="31" spans="1:4" x14ac:dyDescent="0.35">
      <c r="A31">
        <v>813</v>
      </c>
      <c r="B31" s="1" t="s">
        <v>4</v>
      </c>
      <c r="C31">
        <v>301281.5</v>
      </c>
      <c r="D31">
        <v>29</v>
      </c>
    </row>
    <row r="32" spans="1:4" x14ac:dyDescent="0.35">
      <c r="A32">
        <v>818</v>
      </c>
      <c r="B32" s="1" t="s">
        <v>4</v>
      </c>
      <c r="C32">
        <v>300919.98</v>
      </c>
      <c r="D32">
        <v>30</v>
      </c>
    </row>
    <row r="33" spans="1:4" x14ac:dyDescent="0.35">
      <c r="A33">
        <v>836</v>
      </c>
      <c r="B33" s="1" t="s">
        <v>4</v>
      </c>
      <c r="C33">
        <v>300358.95</v>
      </c>
      <c r="D33">
        <v>31</v>
      </c>
    </row>
    <row r="34" spans="1:4" x14ac:dyDescent="0.35">
      <c r="A34">
        <v>828</v>
      </c>
      <c r="B34" s="1" t="s">
        <v>4</v>
      </c>
      <c r="C34">
        <v>299936.24</v>
      </c>
      <c r="D34">
        <v>32</v>
      </c>
    </row>
    <row r="35" spans="1:4" x14ac:dyDescent="0.35">
      <c r="A35">
        <v>738</v>
      </c>
      <c r="B35" s="1" t="s">
        <v>4</v>
      </c>
      <c r="C35">
        <v>298074.49</v>
      </c>
      <c r="D35">
        <v>33</v>
      </c>
    </row>
    <row r="36" spans="1:4" x14ac:dyDescent="0.35">
      <c r="A36">
        <v>831</v>
      </c>
      <c r="B36" s="1" t="s">
        <v>4</v>
      </c>
      <c r="C36">
        <v>296244.33</v>
      </c>
      <c r="D36">
        <v>34</v>
      </c>
    </row>
    <row r="37" spans="1:4" x14ac:dyDescent="0.35">
      <c r="A37">
        <v>811</v>
      </c>
      <c r="B37" s="1" t="s">
        <v>4</v>
      </c>
      <c r="C37">
        <v>295443.42</v>
      </c>
      <c r="D37">
        <v>35</v>
      </c>
    </row>
    <row r="38" spans="1:4" x14ac:dyDescent="0.35">
      <c r="A38">
        <v>730</v>
      </c>
      <c r="B38" s="1" t="s">
        <v>4</v>
      </c>
      <c r="C38">
        <v>295201.28999999998</v>
      </c>
      <c r="D38">
        <v>36</v>
      </c>
    </row>
    <row r="39" spans="1:4" x14ac:dyDescent="0.35">
      <c r="A39">
        <v>829</v>
      </c>
      <c r="B39" s="1" t="s">
        <v>4</v>
      </c>
      <c r="C39">
        <v>293676.93</v>
      </c>
      <c r="D39">
        <v>37</v>
      </c>
    </row>
    <row r="40" spans="1:4" x14ac:dyDescent="0.35">
      <c r="A40">
        <v>825</v>
      </c>
      <c r="B40" s="1" t="s">
        <v>4</v>
      </c>
      <c r="C40">
        <v>292353.59000000003</v>
      </c>
      <c r="D40">
        <v>38</v>
      </c>
    </row>
    <row r="41" spans="1:4" x14ac:dyDescent="0.35">
      <c r="A41">
        <v>801</v>
      </c>
      <c r="B41" s="1" t="s">
        <v>4</v>
      </c>
      <c r="C41">
        <v>290883.71000000002</v>
      </c>
      <c r="D41">
        <v>39</v>
      </c>
    </row>
    <row r="42" spans="1:4" x14ac:dyDescent="0.35">
      <c r="A42">
        <v>805</v>
      </c>
      <c r="B42" s="1" t="s">
        <v>4</v>
      </c>
      <c r="C42">
        <v>289633.52</v>
      </c>
      <c r="D42">
        <v>40</v>
      </c>
    </row>
    <row r="43" spans="1:4" x14ac:dyDescent="0.35">
      <c r="A43">
        <v>731</v>
      </c>
      <c r="B43" s="1" t="s">
        <v>4</v>
      </c>
      <c r="C43">
        <v>288865.31</v>
      </c>
      <c r="D43">
        <v>41</v>
      </c>
    </row>
    <row r="44" spans="1:4" x14ac:dyDescent="0.35">
      <c r="A44">
        <v>819</v>
      </c>
      <c r="B44" s="1" t="s">
        <v>4</v>
      </c>
      <c r="C44">
        <v>287452.08</v>
      </c>
      <c r="D44">
        <v>42</v>
      </c>
    </row>
    <row r="45" spans="1:4" x14ac:dyDescent="0.35">
      <c r="A45">
        <v>826</v>
      </c>
      <c r="B45" s="1" t="s">
        <v>4</v>
      </c>
      <c r="C45">
        <v>285704.59000000003</v>
      </c>
      <c r="D45">
        <v>43</v>
      </c>
    </row>
    <row r="46" spans="1:4" x14ac:dyDescent="0.35">
      <c r="A46">
        <v>815</v>
      </c>
      <c r="B46" s="1" t="s">
        <v>4</v>
      </c>
      <c r="C46">
        <v>279646.07</v>
      </c>
      <c r="D46">
        <v>44</v>
      </c>
    </row>
    <row r="47" spans="1:4" x14ac:dyDescent="0.35">
      <c r="A47">
        <v>802</v>
      </c>
      <c r="B47" s="1" t="s">
        <v>4</v>
      </c>
      <c r="C47">
        <v>276965.55</v>
      </c>
      <c r="D47">
        <v>45</v>
      </c>
    </row>
    <row r="48" spans="1:4" x14ac:dyDescent="0.35">
      <c r="A48">
        <v>803</v>
      </c>
      <c r="B48" s="1" t="s">
        <v>4</v>
      </c>
      <c r="C48">
        <v>269375.90999999997</v>
      </c>
      <c r="D48">
        <v>46</v>
      </c>
    </row>
    <row r="49" spans="1:4" x14ac:dyDescent="0.35">
      <c r="A49">
        <v>808</v>
      </c>
      <c r="B49" s="1" t="s">
        <v>4</v>
      </c>
      <c r="C49">
        <v>266982.83</v>
      </c>
      <c r="D49">
        <v>47</v>
      </c>
    </row>
    <row r="50" spans="1:4" x14ac:dyDescent="0.35">
      <c r="A50">
        <v>832</v>
      </c>
      <c r="B50" s="1" t="s">
        <v>4</v>
      </c>
      <c r="C50">
        <v>261593.2</v>
      </c>
      <c r="D50">
        <v>48</v>
      </c>
    </row>
    <row r="51" spans="1:4" x14ac:dyDescent="0.35">
      <c r="A51">
        <v>837</v>
      </c>
      <c r="B51" s="1" t="s">
        <v>4</v>
      </c>
      <c r="C51">
        <v>67112.570000000007</v>
      </c>
      <c r="D51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E6DE-3A1C-4938-8401-5883ED7D9AC3}">
  <dimension ref="A1:C10"/>
  <sheetViews>
    <sheetView workbookViewId="0">
      <selection sqref="A1:C10"/>
    </sheetView>
  </sheetViews>
  <sheetFormatPr defaultRowHeight="14.5" x14ac:dyDescent="0.35"/>
  <cols>
    <col min="1" max="1" width="22" bestFit="1" customWidth="1"/>
    <col min="2" max="2" width="27.08984375" bestFit="1" customWidth="1"/>
    <col min="3" max="3" width="20" bestFit="1" customWidth="1"/>
    <col min="4" max="13" width="4.81640625" bestFit="1" customWidth="1"/>
    <col min="14" max="14" width="20" bestFit="1" customWidth="1"/>
    <col min="15" max="25" width="11.81640625" bestFit="1" customWidth="1"/>
    <col min="26" max="26" width="31.54296875" bestFit="1" customWidth="1"/>
    <col min="27" max="27" width="24.453125" bestFit="1" customWidth="1"/>
  </cols>
  <sheetData>
    <row r="1" spans="1:3" x14ac:dyDescent="0.35">
      <c r="A1" s="19" t="s">
        <v>9</v>
      </c>
      <c r="B1" s="18" t="s">
        <v>8</v>
      </c>
    </row>
    <row r="3" spans="1:3" x14ac:dyDescent="0.35">
      <c r="A3" s="8" t="s">
        <v>6</v>
      </c>
      <c r="B3" s="2" t="s">
        <v>31</v>
      </c>
      <c r="C3" s="5" t="s">
        <v>32</v>
      </c>
    </row>
    <row r="4" spans="1:3" x14ac:dyDescent="0.35">
      <c r="A4" s="9" t="s">
        <v>14</v>
      </c>
      <c r="B4" s="14">
        <v>15547</v>
      </c>
      <c r="C4" s="15">
        <v>1544.4431570000004</v>
      </c>
    </row>
    <row r="5" spans="1:3" x14ac:dyDescent="0.35">
      <c r="A5" s="11" t="s">
        <v>15</v>
      </c>
      <c r="B5" s="16">
        <v>13454</v>
      </c>
      <c r="C5" s="17">
        <v>1537.0078799999999</v>
      </c>
    </row>
    <row r="6" spans="1:3" x14ac:dyDescent="0.35">
      <c r="A6" s="11" t="s">
        <v>16</v>
      </c>
      <c r="B6" s="16">
        <v>15335</v>
      </c>
      <c r="C6" s="17">
        <v>1542.9423809999998</v>
      </c>
    </row>
    <row r="7" spans="1:3" x14ac:dyDescent="0.35">
      <c r="A7" s="11" t="s">
        <v>17</v>
      </c>
      <c r="B7" s="16">
        <v>16655</v>
      </c>
      <c r="C7" s="17">
        <v>502.09505399999995</v>
      </c>
    </row>
    <row r="8" spans="1:3" x14ac:dyDescent="0.35">
      <c r="A8" s="11" t="s">
        <v>18</v>
      </c>
      <c r="B8" s="16">
        <v>16836</v>
      </c>
      <c r="C8" s="17">
        <v>22217.713096000003</v>
      </c>
    </row>
    <row r="9" spans="1:3" x14ac:dyDescent="0.35">
      <c r="A9" s="11" t="s">
        <v>19</v>
      </c>
      <c r="B9" s="16">
        <v>11639</v>
      </c>
      <c r="C9" s="17">
        <v>8309.3686970000035</v>
      </c>
    </row>
    <row r="10" spans="1:3" x14ac:dyDescent="0.35">
      <c r="A10" s="13" t="s">
        <v>7</v>
      </c>
      <c r="B10" s="6">
        <v>89466</v>
      </c>
      <c r="C10" s="7">
        <v>35653.570265000009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1333-B0E7-4A96-9B19-B68829B9DED2}">
  <dimension ref="A1:S290"/>
  <sheetViews>
    <sheetView tabSelected="1" workbookViewId="0">
      <selection activeCell="D11" sqref="D11"/>
    </sheetView>
  </sheetViews>
  <sheetFormatPr defaultRowHeight="14.5" x14ac:dyDescent="0.35"/>
  <cols>
    <col min="1" max="1" width="29.7265625" customWidth="1"/>
    <col min="2" max="2" width="18.453125" customWidth="1"/>
    <col min="3" max="3" width="15.6328125" customWidth="1"/>
    <col min="4" max="4" width="13.6328125" customWidth="1"/>
    <col min="5" max="5" width="27.7265625" customWidth="1"/>
    <col min="6" max="6" width="13.26953125" customWidth="1"/>
    <col min="7" max="7" width="16.08984375" customWidth="1"/>
    <col min="8" max="8" width="13.36328125" customWidth="1"/>
    <col min="10" max="10" width="8.7265625" customWidth="1"/>
    <col min="11" max="11" width="29.08984375" customWidth="1"/>
    <col min="12" max="12" width="15.90625" customWidth="1"/>
    <col min="13" max="13" width="26.7265625" customWidth="1"/>
    <col min="14" max="14" width="27.54296875" customWidth="1"/>
    <col min="15" max="15" width="25.26953125" customWidth="1"/>
    <col min="17" max="17" width="22" bestFit="1" customWidth="1"/>
    <col min="18" max="18" width="27.08984375" bestFit="1" customWidth="1"/>
    <col min="19" max="19" width="20" bestFit="1" customWidth="1"/>
  </cols>
  <sheetData>
    <row r="1" spans="1:19" x14ac:dyDescent="0.35">
      <c r="A1" s="20" t="s">
        <v>27</v>
      </c>
      <c r="E1" s="20" t="s">
        <v>29</v>
      </c>
      <c r="K1" s="20" t="s">
        <v>28</v>
      </c>
    </row>
    <row r="2" spans="1:19" x14ac:dyDescent="0.35">
      <c r="A2" s="21" t="s">
        <v>20</v>
      </c>
      <c r="B2" s="21" t="s">
        <v>21</v>
      </c>
      <c r="E2" s="21" t="s">
        <v>0</v>
      </c>
      <c r="F2" s="21" t="s">
        <v>1</v>
      </c>
      <c r="G2" s="21" t="s">
        <v>2</v>
      </c>
      <c r="H2" s="21" t="s">
        <v>3</v>
      </c>
      <c r="K2" s="21" t="s">
        <v>9</v>
      </c>
      <c r="L2" s="21" t="s">
        <v>10</v>
      </c>
      <c r="M2" s="21" t="s">
        <v>11</v>
      </c>
      <c r="N2" s="21" t="s">
        <v>12</v>
      </c>
      <c r="O2" s="21" t="s">
        <v>13</v>
      </c>
      <c r="Q2" s="19" t="s">
        <v>9</v>
      </c>
      <c r="R2" s="18" t="s">
        <v>8</v>
      </c>
    </row>
    <row r="3" spans="1:19" x14ac:dyDescent="0.35">
      <c r="A3" s="1" t="s">
        <v>22</v>
      </c>
      <c r="B3">
        <v>11451615.09</v>
      </c>
      <c r="E3">
        <v>736</v>
      </c>
      <c r="F3" s="1" t="s">
        <v>4</v>
      </c>
      <c r="G3">
        <v>8708119</v>
      </c>
      <c r="H3">
        <v>1</v>
      </c>
      <c r="K3">
        <v>2022</v>
      </c>
      <c r="L3">
        <v>1</v>
      </c>
      <c r="M3" s="1" t="s">
        <v>14</v>
      </c>
      <c r="N3">
        <v>260</v>
      </c>
      <c r="O3">
        <v>32.004384999999999</v>
      </c>
    </row>
    <row r="4" spans="1:19" x14ac:dyDescent="0.35">
      <c r="A4" s="1" t="s">
        <v>4</v>
      </c>
      <c r="B4">
        <v>24237526.98</v>
      </c>
      <c r="E4">
        <v>835</v>
      </c>
      <c r="F4" s="1" t="s">
        <v>4</v>
      </c>
      <c r="G4">
        <v>623163.53</v>
      </c>
      <c r="H4">
        <v>2</v>
      </c>
      <c r="K4">
        <v>2022</v>
      </c>
      <c r="L4">
        <v>1</v>
      </c>
      <c r="M4" s="1" t="s">
        <v>15</v>
      </c>
      <c r="N4">
        <v>263</v>
      </c>
      <c r="O4">
        <v>30.896426000000002</v>
      </c>
      <c r="Q4" s="8" t="s">
        <v>6</v>
      </c>
      <c r="R4" s="2" t="s">
        <v>31</v>
      </c>
      <c r="S4" s="5" t="s">
        <v>32</v>
      </c>
    </row>
    <row r="5" spans="1:19" x14ac:dyDescent="0.35">
      <c r="E5">
        <v>817</v>
      </c>
      <c r="F5" s="1" t="s">
        <v>4</v>
      </c>
      <c r="G5">
        <v>602183.43999999994</v>
      </c>
      <c r="H5">
        <v>3</v>
      </c>
      <c r="K5">
        <v>2022</v>
      </c>
      <c r="L5">
        <v>1</v>
      </c>
      <c r="M5" s="1" t="s">
        <v>16</v>
      </c>
      <c r="N5">
        <v>295</v>
      </c>
      <c r="O5">
        <v>36.289186000000001</v>
      </c>
      <c r="Q5" s="9" t="s">
        <v>14</v>
      </c>
      <c r="R5" s="28">
        <v>0.17377551248518991</v>
      </c>
      <c r="S5" s="15">
        <v>1544.4431570000004</v>
      </c>
    </row>
    <row r="6" spans="1:19" x14ac:dyDescent="0.35">
      <c r="A6" s="20" t="s">
        <v>26</v>
      </c>
      <c r="E6">
        <v>838</v>
      </c>
      <c r="F6" s="1" t="s">
        <v>4</v>
      </c>
      <c r="G6">
        <v>597565.68000000005</v>
      </c>
      <c r="H6">
        <v>4</v>
      </c>
      <c r="K6">
        <v>2022</v>
      </c>
      <c r="L6">
        <v>1</v>
      </c>
      <c r="M6" s="1" t="s">
        <v>17</v>
      </c>
      <c r="N6">
        <v>247</v>
      </c>
      <c r="O6">
        <v>10.384857999999999</v>
      </c>
      <c r="Q6" s="11" t="s">
        <v>15</v>
      </c>
      <c r="R6" s="29">
        <v>0.15038115038115038</v>
      </c>
      <c r="S6" s="17">
        <v>1537.0078799999999</v>
      </c>
    </row>
    <row r="7" spans="1:19" x14ac:dyDescent="0.35">
      <c r="A7" s="24" t="s">
        <v>23</v>
      </c>
      <c r="B7" s="24" t="s">
        <v>21</v>
      </c>
      <c r="C7" s="24" t="s">
        <v>24</v>
      </c>
      <c r="D7" s="24" t="s">
        <v>25</v>
      </c>
      <c r="E7">
        <v>734</v>
      </c>
      <c r="F7" s="1" t="s">
        <v>4</v>
      </c>
      <c r="G7">
        <v>584675.92000000004</v>
      </c>
      <c r="H7">
        <v>5</v>
      </c>
      <c r="K7">
        <v>2022</v>
      </c>
      <c r="L7">
        <v>1</v>
      </c>
      <c r="M7" s="1" t="s">
        <v>18</v>
      </c>
      <c r="N7">
        <v>287</v>
      </c>
      <c r="O7">
        <v>406.776341</v>
      </c>
      <c r="Q7" s="11" t="s">
        <v>16</v>
      </c>
      <c r="R7" s="29">
        <v>0.17140589721234883</v>
      </c>
      <c r="S7" s="17">
        <v>1542.9423809999998</v>
      </c>
    </row>
    <row r="8" spans="1:19" x14ac:dyDescent="0.35">
      <c r="A8" s="22" t="s">
        <v>22</v>
      </c>
      <c r="B8" s="21">
        <v>45370048.850000001</v>
      </c>
      <c r="C8" s="23" t="d">
        <v>2022-01-01</v>
      </c>
      <c r="D8" s="23" t="d">
        <v>2025-12-31</v>
      </c>
      <c r="E8">
        <v>807</v>
      </c>
      <c r="F8" s="1" t="s">
        <v>4</v>
      </c>
      <c r="G8">
        <v>338009.1</v>
      </c>
      <c r="H8">
        <v>6</v>
      </c>
      <c r="K8">
        <v>2022</v>
      </c>
      <c r="L8">
        <v>1</v>
      </c>
      <c r="M8" s="1" t="s">
        <v>19</v>
      </c>
      <c r="N8">
        <v>246</v>
      </c>
      <c r="O8">
        <v>177.24723599999999</v>
      </c>
      <c r="Q8" s="11" t="s">
        <v>17</v>
      </c>
      <c r="R8" s="29">
        <v>0.18616010551494422</v>
      </c>
      <c r="S8" s="17">
        <v>502.09505399999995</v>
      </c>
    </row>
    <row r="9" spans="1:19" x14ac:dyDescent="0.35">
      <c r="E9">
        <v>810</v>
      </c>
      <c r="F9" s="1" t="s">
        <v>4</v>
      </c>
      <c r="G9">
        <v>335547.81</v>
      </c>
      <c r="H9">
        <v>7</v>
      </c>
      <c r="K9">
        <v>2022</v>
      </c>
      <c r="L9">
        <v>2</v>
      </c>
      <c r="M9" s="1" t="s">
        <v>14</v>
      </c>
      <c r="N9">
        <v>210</v>
      </c>
      <c r="O9">
        <v>31.296429</v>
      </c>
      <c r="Q9" s="11" t="s">
        <v>18</v>
      </c>
      <c r="R9" s="29">
        <v>0.18818322044128497</v>
      </c>
      <c r="S9" s="17">
        <v>22217.713096000003</v>
      </c>
    </row>
    <row r="10" spans="1:19" x14ac:dyDescent="0.35">
      <c r="A10" s="8" t="s">
        <v>34</v>
      </c>
      <c r="B10" s="3" t="s">
        <v>33</v>
      </c>
      <c r="E10">
        <v>823</v>
      </c>
      <c r="F10" s="1" t="s">
        <v>4</v>
      </c>
      <c r="G10">
        <v>332611.76</v>
      </c>
      <c r="H10">
        <v>8</v>
      </c>
      <c r="K10">
        <v>2022</v>
      </c>
      <c r="L10">
        <v>2</v>
      </c>
      <c r="M10" s="1" t="s">
        <v>15</v>
      </c>
      <c r="N10">
        <v>229</v>
      </c>
      <c r="O10">
        <v>31.054366999999999</v>
      </c>
      <c r="Q10" s="11" t="s">
        <v>19</v>
      </c>
      <c r="R10" s="29">
        <v>0.13009411396508172</v>
      </c>
      <c r="S10" s="17">
        <v>8309.3686970000035</v>
      </c>
    </row>
    <row r="11" spans="1:19" x14ac:dyDescent="0.35">
      <c r="A11" s="9" t="s">
        <v>22</v>
      </c>
      <c r="B11" s="25">
        <v>0.32087112286249475</v>
      </c>
      <c r="E11">
        <v>822</v>
      </c>
      <c r="F11" s="1" t="s">
        <v>4</v>
      </c>
      <c r="G11">
        <v>330505.46999999997</v>
      </c>
      <c r="H11">
        <v>9</v>
      </c>
      <c r="K11">
        <v>2022</v>
      </c>
      <c r="L11">
        <v>2</v>
      </c>
      <c r="M11" s="1" t="s">
        <v>16</v>
      </c>
      <c r="N11">
        <v>281</v>
      </c>
      <c r="O11">
        <v>30.81427</v>
      </c>
      <c r="Q11" s="13" t="s">
        <v>7</v>
      </c>
      <c r="R11" s="30">
        <v>1</v>
      </c>
      <c r="S11" s="7">
        <v>35653.570265000009</v>
      </c>
    </row>
    <row r="12" spans="1:19" x14ac:dyDescent="0.35">
      <c r="A12" s="11" t="s">
        <v>4</v>
      </c>
      <c r="B12" s="26">
        <v>0.67912887713750525</v>
      </c>
      <c r="E12">
        <v>814</v>
      </c>
      <c r="F12" s="1" t="s">
        <v>4</v>
      </c>
      <c r="G12">
        <v>328860.51</v>
      </c>
      <c r="H12">
        <v>10</v>
      </c>
      <c r="K12">
        <v>2022</v>
      </c>
      <c r="L12">
        <v>2</v>
      </c>
      <c r="M12" s="1" t="s">
        <v>17</v>
      </c>
      <c r="N12">
        <v>246</v>
      </c>
      <c r="O12">
        <v>10.912967</v>
      </c>
    </row>
    <row r="13" spans="1:19" x14ac:dyDescent="0.35">
      <c r="A13" s="13" t="s">
        <v>7</v>
      </c>
      <c r="B13" s="27">
        <v>1</v>
      </c>
      <c r="E13">
        <v>812</v>
      </c>
      <c r="F13" s="1" t="s">
        <v>4</v>
      </c>
      <c r="G13">
        <v>322039.24</v>
      </c>
      <c r="H13">
        <v>11</v>
      </c>
      <c r="K13">
        <v>2022</v>
      </c>
      <c r="L13">
        <v>2</v>
      </c>
      <c r="M13" s="1" t="s">
        <v>18</v>
      </c>
      <c r="N13">
        <v>287</v>
      </c>
      <c r="O13">
        <v>466.11540100000002</v>
      </c>
    </row>
    <row r="14" spans="1:19" x14ac:dyDescent="0.35">
      <c r="E14">
        <v>820</v>
      </c>
      <c r="F14" s="1" t="s">
        <v>4</v>
      </c>
      <c r="G14">
        <v>321998.55</v>
      </c>
      <c r="H14">
        <v>12</v>
      </c>
      <c r="K14">
        <v>2022</v>
      </c>
      <c r="L14">
        <v>2</v>
      </c>
      <c r="M14" s="1" t="s">
        <v>19</v>
      </c>
      <c r="N14">
        <v>220</v>
      </c>
      <c r="O14">
        <v>176.03163599999999</v>
      </c>
    </row>
    <row r="15" spans="1:19" x14ac:dyDescent="0.35">
      <c r="E15">
        <v>806</v>
      </c>
      <c r="F15" s="1" t="s">
        <v>4</v>
      </c>
      <c r="G15">
        <v>320516.53000000003</v>
      </c>
      <c r="H15">
        <v>13</v>
      </c>
      <c r="K15">
        <v>2022</v>
      </c>
      <c r="L15">
        <v>3</v>
      </c>
      <c r="M15" s="1" t="s">
        <v>14</v>
      </c>
      <c r="N15">
        <v>247</v>
      </c>
      <c r="O15">
        <v>33.786113</v>
      </c>
    </row>
    <row r="16" spans="1:19" x14ac:dyDescent="0.35">
      <c r="E16">
        <v>737</v>
      </c>
      <c r="F16" s="1" t="s">
        <v>4</v>
      </c>
      <c r="G16">
        <v>320441.24</v>
      </c>
      <c r="H16">
        <v>14</v>
      </c>
      <c r="K16">
        <v>2022</v>
      </c>
      <c r="L16">
        <v>3</v>
      </c>
      <c r="M16" s="1" t="s">
        <v>15</v>
      </c>
      <c r="N16">
        <v>232</v>
      </c>
      <c r="O16">
        <v>31.238578</v>
      </c>
    </row>
    <row r="17" spans="5:15" x14ac:dyDescent="0.35">
      <c r="E17">
        <v>735</v>
      </c>
      <c r="F17" s="1" t="s">
        <v>4</v>
      </c>
      <c r="G17">
        <v>319394.58</v>
      </c>
      <c r="H17">
        <v>15</v>
      </c>
      <c r="K17">
        <v>2022</v>
      </c>
      <c r="L17">
        <v>3</v>
      </c>
      <c r="M17" s="1" t="s">
        <v>16</v>
      </c>
      <c r="N17">
        <v>235</v>
      </c>
      <c r="O17">
        <v>32.031277000000003</v>
      </c>
    </row>
    <row r="18" spans="5:15" x14ac:dyDescent="0.35">
      <c r="E18">
        <v>739</v>
      </c>
      <c r="F18" s="1" t="s">
        <v>4</v>
      </c>
      <c r="G18">
        <v>318511.03999999998</v>
      </c>
      <c r="H18">
        <v>16</v>
      </c>
      <c r="K18">
        <v>2022</v>
      </c>
      <c r="L18">
        <v>3</v>
      </c>
      <c r="M18" s="1" t="s">
        <v>17</v>
      </c>
      <c r="N18">
        <v>243</v>
      </c>
      <c r="O18">
        <v>10.570206000000001</v>
      </c>
    </row>
    <row r="19" spans="5:15" x14ac:dyDescent="0.35">
      <c r="E19">
        <v>830</v>
      </c>
      <c r="F19" s="1" t="s">
        <v>4</v>
      </c>
      <c r="G19">
        <v>316775.48</v>
      </c>
      <c r="H19">
        <v>17</v>
      </c>
      <c r="K19">
        <v>2022</v>
      </c>
      <c r="L19">
        <v>3</v>
      </c>
      <c r="M19" s="1" t="s">
        <v>18</v>
      </c>
      <c r="N19">
        <v>319</v>
      </c>
      <c r="O19">
        <v>434.92758600000002</v>
      </c>
    </row>
    <row r="20" spans="5:15" x14ac:dyDescent="0.35">
      <c r="E20">
        <v>824</v>
      </c>
      <c r="F20" s="1" t="s">
        <v>4</v>
      </c>
      <c r="G20">
        <v>314513.77</v>
      </c>
      <c r="H20">
        <v>18</v>
      </c>
      <c r="K20">
        <v>2022</v>
      </c>
      <c r="L20">
        <v>3</v>
      </c>
      <c r="M20" s="1" t="s">
        <v>19</v>
      </c>
      <c r="N20">
        <v>255</v>
      </c>
      <c r="O20">
        <v>179.60058799999999</v>
      </c>
    </row>
    <row r="21" spans="5:15" x14ac:dyDescent="0.35">
      <c r="E21">
        <v>816</v>
      </c>
      <c r="F21" s="1" t="s">
        <v>4</v>
      </c>
      <c r="G21">
        <v>312873.59000000003</v>
      </c>
      <c r="H21">
        <v>19</v>
      </c>
      <c r="K21">
        <v>2022</v>
      </c>
      <c r="L21">
        <v>4</v>
      </c>
      <c r="M21" s="1" t="s">
        <v>14</v>
      </c>
      <c r="N21">
        <v>221</v>
      </c>
      <c r="O21">
        <v>31.822489000000001</v>
      </c>
    </row>
    <row r="22" spans="5:15" x14ac:dyDescent="0.35">
      <c r="E22">
        <v>834</v>
      </c>
      <c r="F22" s="1" t="s">
        <v>4</v>
      </c>
      <c r="G22">
        <v>311056.42</v>
      </c>
      <c r="H22">
        <v>20</v>
      </c>
      <c r="K22">
        <v>2022</v>
      </c>
      <c r="L22">
        <v>4</v>
      </c>
      <c r="M22" s="1" t="s">
        <v>15</v>
      </c>
      <c r="N22">
        <v>226</v>
      </c>
      <c r="O22">
        <v>30.272698999999999</v>
      </c>
    </row>
    <row r="23" spans="5:15" x14ac:dyDescent="0.35">
      <c r="E23">
        <v>733</v>
      </c>
      <c r="F23" s="1" t="s">
        <v>4</v>
      </c>
      <c r="G23">
        <v>310099.90000000002</v>
      </c>
      <c r="H23">
        <v>21</v>
      </c>
      <c r="K23">
        <v>2022</v>
      </c>
      <c r="L23">
        <v>4</v>
      </c>
      <c r="M23" s="1" t="s">
        <v>16</v>
      </c>
      <c r="N23">
        <v>242</v>
      </c>
      <c r="O23">
        <v>28.343098999999999</v>
      </c>
    </row>
    <row r="24" spans="5:15" x14ac:dyDescent="0.35">
      <c r="E24">
        <v>833</v>
      </c>
      <c r="F24" s="1" t="s">
        <v>4</v>
      </c>
      <c r="G24">
        <v>307320.52</v>
      </c>
      <c r="H24">
        <v>22</v>
      </c>
      <c r="K24">
        <v>2022</v>
      </c>
      <c r="L24">
        <v>4</v>
      </c>
      <c r="M24" s="1" t="s">
        <v>17</v>
      </c>
      <c r="N24">
        <v>247</v>
      </c>
      <c r="O24">
        <v>11.027813999999999</v>
      </c>
    </row>
    <row r="25" spans="5:15" x14ac:dyDescent="0.35">
      <c r="E25">
        <v>839</v>
      </c>
      <c r="F25" s="1" t="s">
        <v>4</v>
      </c>
      <c r="G25">
        <v>306326.3</v>
      </c>
      <c r="H25">
        <v>23</v>
      </c>
      <c r="K25">
        <v>2022</v>
      </c>
      <c r="L25">
        <v>4</v>
      </c>
      <c r="M25" s="1" t="s">
        <v>18</v>
      </c>
      <c r="N25">
        <v>271</v>
      </c>
      <c r="O25">
        <v>387.06239900000003</v>
      </c>
    </row>
    <row r="26" spans="5:15" x14ac:dyDescent="0.35">
      <c r="E26">
        <v>804</v>
      </c>
      <c r="F26" s="1" t="s">
        <v>4</v>
      </c>
      <c r="G26">
        <v>305762.59999999998</v>
      </c>
      <c r="H26">
        <v>24</v>
      </c>
      <c r="K26">
        <v>2022</v>
      </c>
      <c r="L26">
        <v>4</v>
      </c>
      <c r="M26" s="1" t="s">
        <v>19</v>
      </c>
      <c r="N26">
        <v>287</v>
      </c>
      <c r="O26">
        <v>176.491185</v>
      </c>
    </row>
    <row r="27" spans="5:15" x14ac:dyDescent="0.35">
      <c r="E27">
        <v>821</v>
      </c>
      <c r="F27" s="1" t="s">
        <v>4</v>
      </c>
      <c r="G27">
        <v>303761.90999999997</v>
      </c>
      <c r="H27">
        <v>25</v>
      </c>
      <c r="K27">
        <v>2022</v>
      </c>
      <c r="L27">
        <v>5</v>
      </c>
      <c r="M27" s="1" t="s">
        <v>14</v>
      </c>
      <c r="N27">
        <v>245</v>
      </c>
      <c r="O27">
        <v>31.685347</v>
      </c>
    </row>
    <row r="28" spans="5:15" x14ac:dyDescent="0.35">
      <c r="E28">
        <v>732</v>
      </c>
      <c r="F28" s="1" t="s">
        <v>4</v>
      </c>
      <c r="G28">
        <v>303433.61</v>
      </c>
      <c r="H28">
        <v>26</v>
      </c>
      <c r="K28">
        <v>2022</v>
      </c>
      <c r="L28">
        <v>5</v>
      </c>
      <c r="M28" s="1" t="s">
        <v>15</v>
      </c>
      <c r="N28">
        <v>235</v>
      </c>
      <c r="O28">
        <v>32.374979000000003</v>
      </c>
    </row>
    <row r="29" spans="5:15" x14ac:dyDescent="0.35">
      <c r="E29">
        <v>809</v>
      </c>
      <c r="F29" s="1" t="s">
        <v>4</v>
      </c>
      <c r="G29">
        <v>302049.65000000002</v>
      </c>
      <c r="H29">
        <v>27</v>
      </c>
      <c r="K29">
        <v>2022</v>
      </c>
      <c r="L29">
        <v>5</v>
      </c>
      <c r="M29" s="1" t="s">
        <v>16</v>
      </c>
      <c r="N29">
        <v>264</v>
      </c>
      <c r="O29">
        <v>31.693294999999999</v>
      </c>
    </row>
    <row r="30" spans="5:15" x14ac:dyDescent="0.35">
      <c r="E30">
        <v>827</v>
      </c>
      <c r="F30" s="1" t="s">
        <v>4</v>
      </c>
      <c r="G30">
        <v>301703.77</v>
      </c>
      <c r="H30">
        <v>28</v>
      </c>
      <c r="K30">
        <v>2022</v>
      </c>
      <c r="L30">
        <v>5</v>
      </c>
      <c r="M30" s="1" t="s">
        <v>17</v>
      </c>
      <c r="N30">
        <v>236</v>
      </c>
      <c r="O30">
        <v>10.399449000000001</v>
      </c>
    </row>
    <row r="31" spans="5:15" x14ac:dyDescent="0.35">
      <c r="E31">
        <v>813</v>
      </c>
      <c r="F31" s="1" t="s">
        <v>4</v>
      </c>
      <c r="G31">
        <v>301281.5</v>
      </c>
      <c r="H31">
        <v>29</v>
      </c>
      <c r="K31">
        <v>2022</v>
      </c>
      <c r="L31">
        <v>5</v>
      </c>
      <c r="M31" s="1" t="s">
        <v>18</v>
      </c>
      <c r="N31">
        <v>290</v>
      </c>
      <c r="O31">
        <v>434.240793</v>
      </c>
    </row>
    <row r="32" spans="5:15" x14ac:dyDescent="0.35">
      <c r="E32">
        <v>818</v>
      </c>
      <c r="F32" s="1" t="s">
        <v>4</v>
      </c>
      <c r="G32">
        <v>300919.98</v>
      </c>
      <c r="H32">
        <v>30</v>
      </c>
      <c r="K32">
        <v>2022</v>
      </c>
      <c r="L32">
        <v>5</v>
      </c>
      <c r="M32" s="1" t="s">
        <v>19</v>
      </c>
      <c r="N32">
        <v>321</v>
      </c>
      <c r="O32">
        <v>186.62473499999999</v>
      </c>
    </row>
    <row r="33" spans="5:15" x14ac:dyDescent="0.35">
      <c r="E33">
        <v>836</v>
      </c>
      <c r="F33" s="1" t="s">
        <v>4</v>
      </c>
      <c r="G33">
        <v>300358.95</v>
      </c>
      <c r="H33">
        <v>31</v>
      </c>
      <c r="K33">
        <v>2022</v>
      </c>
      <c r="L33">
        <v>6</v>
      </c>
      <c r="M33" s="1" t="s">
        <v>14</v>
      </c>
      <c r="N33">
        <v>226</v>
      </c>
      <c r="O33">
        <v>31.678894</v>
      </c>
    </row>
    <row r="34" spans="5:15" x14ac:dyDescent="0.35">
      <c r="E34">
        <v>828</v>
      </c>
      <c r="F34" s="1" t="s">
        <v>4</v>
      </c>
      <c r="G34">
        <v>299936.24</v>
      </c>
      <c r="H34">
        <v>32</v>
      </c>
      <c r="K34">
        <v>2022</v>
      </c>
      <c r="L34">
        <v>6</v>
      </c>
      <c r="M34" s="1" t="s">
        <v>15</v>
      </c>
      <c r="N34">
        <v>198</v>
      </c>
      <c r="O34">
        <v>30.451111000000001</v>
      </c>
    </row>
    <row r="35" spans="5:15" x14ac:dyDescent="0.35">
      <c r="E35">
        <v>738</v>
      </c>
      <c r="F35" s="1" t="s">
        <v>4</v>
      </c>
      <c r="G35">
        <v>298074.49</v>
      </c>
      <c r="H35">
        <v>33</v>
      </c>
      <c r="K35">
        <v>2022</v>
      </c>
      <c r="L35">
        <v>6</v>
      </c>
      <c r="M35" s="1" t="s">
        <v>16</v>
      </c>
      <c r="N35">
        <v>279</v>
      </c>
      <c r="O35">
        <v>30.050179</v>
      </c>
    </row>
    <row r="36" spans="5:15" x14ac:dyDescent="0.35">
      <c r="E36">
        <v>831</v>
      </c>
      <c r="F36" s="1" t="s">
        <v>4</v>
      </c>
      <c r="G36">
        <v>296244.33</v>
      </c>
      <c r="H36">
        <v>34</v>
      </c>
      <c r="K36">
        <v>2022</v>
      </c>
      <c r="L36">
        <v>6</v>
      </c>
      <c r="M36" s="1" t="s">
        <v>17</v>
      </c>
      <c r="N36">
        <v>258</v>
      </c>
      <c r="O36">
        <v>10.244650999999999</v>
      </c>
    </row>
    <row r="37" spans="5:15" x14ac:dyDescent="0.35">
      <c r="E37">
        <v>811</v>
      </c>
      <c r="F37" s="1" t="s">
        <v>4</v>
      </c>
      <c r="G37">
        <v>295443.42</v>
      </c>
      <c r="H37">
        <v>35</v>
      </c>
      <c r="K37">
        <v>2022</v>
      </c>
      <c r="L37">
        <v>6</v>
      </c>
      <c r="M37" s="1" t="s">
        <v>18</v>
      </c>
      <c r="N37">
        <v>264</v>
      </c>
      <c r="O37">
        <v>478.938106</v>
      </c>
    </row>
    <row r="38" spans="5:15" x14ac:dyDescent="0.35">
      <c r="E38">
        <v>730</v>
      </c>
      <c r="F38" s="1" t="s">
        <v>4</v>
      </c>
      <c r="G38">
        <v>295201.28999999998</v>
      </c>
      <c r="H38">
        <v>36</v>
      </c>
      <c r="K38">
        <v>2022</v>
      </c>
      <c r="L38">
        <v>6</v>
      </c>
      <c r="M38" s="1" t="s">
        <v>19</v>
      </c>
      <c r="N38">
        <v>262</v>
      </c>
      <c r="O38">
        <v>181.92156499999999</v>
      </c>
    </row>
    <row r="39" spans="5:15" x14ac:dyDescent="0.35">
      <c r="E39">
        <v>829</v>
      </c>
      <c r="F39" s="1" t="s">
        <v>4</v>
      </c>
      <c r="G39">
        <v>293676.93</v>
      </c>
      <c r="H39">
        <v>37</v>
      </c>
      <c r="K39">
        <v>2022</v>
      </c>
      <c r="L39">
        <v>7</v>
      </c>
      <c r="M39" s="1" t="s">
        <v>14</v>
      </c>
      <c r="N39">
        <v>264</v>
      </c>
      <c r="O39">
        <v>30.766023000000001</v>
      </c>
    </row>
    <row r="40" spans="5:15" x14ac:dyDescent="0.35">
      <c r="E40">
        <v>825</v>
      </c>
      <c r="F40" s="1" t="s">
        <v>4</v>
      </c>
      <c r="G40">
        <v>292353.59000000003</v>
      </c>
      <c r="H40">
        <v>38</v>
      </c>
      <c r="K40">
        <v>2022</v>
      </c>
      <c r="L40">
        <v>7</v>
      </c>
      <c r="M40" s="1" t="s">
        <v>15</v>
      </c>
      <c r="N40">
        <v>210</v>
      </c>
      <c r="O40">
        <v>32</v>
      </c>
    </row>
    <row r="41" spans="5:15" x14ac:dyDescent="0.35">
      <c r="E41">
        <v>801</v>
      </c>
      <c r="F41" s="1" t="s">
        <v>4</v>
      </c>
      <c r="G41">
        <v>290883.71000000002</v>
      </c>
      <c r="H41">
        <v>39</v>
      </c>
      <c r="K41">
        <v>2022</v>
      </c>
      <c r="L41">
        <v>7</v>
      </c>
      <c r="M41" s="1" t="s">
        <v>16</v>
      </c>
      <c r="N41">
        <v>297</v>
      </c>
      <c r="O41">
        <v>34.243198999999997</v>
      </c>
    </row>
    <row r="42" spans="5:15" x14ac:dyDescent="0.35">
      <c r="E42">
        <v>805</v>
      </c>
      <c r="F42" s="1" t="s">
        <v>4</v>
      </c>
      <c r="G42">
        <v>289633.52</v>
      </c>
      <c r="H42">
        <v>40</v>
      </c>
      <c r="K42">
        <v>2022</v>
      </c>
      <c r="L42">
        <v>7</v>
      </c>
      <c r="M42" s="1" t="s">
        <v>17</v>
      </c>
      <c r="N42">
        <v>267</v>
      </c>
      <c r="O42">
        <v>10.416217</v>
      </c>
    </row>
    <row r="43" spans="5:15" x14ac:dyDescent="0.35">
      <c r="E43">
        <v>731</v>
      </c>
      <c r="F43" s="1" t="s">
        <v>4</v>
      </c>
      <c r="G43">
        <v>288865.31</v>
      </c>
      <c r="H43">
        <v>41</v>
      </c>
      <c r="K43">
        <v>2022</v>
      </c>
      <c r="L43">
        <v>7</v>
      </c>
      <c r="M43" s="1" t="s">
        <v>18</v>
      </c>
      <c r="N43">
        <v>303</v>
      </c>
      <c r="O43">
        <v>512.03415800000005</v>
      </c>
    </row>
    <row r="44" spans="5:15" x14ac:dyDescent="0.35">
      <c r="E44">
        <v>819</v>
      </c>
      <c r="F44" s="1" t="s">
        <v>4</v>
      </c>
      <c r="G44">
        <v>287452.08</v>
      </c>
      <c r="H44">
        <v>42</v>
      </c>
      <c r="K44">
        <v>2022</v>
      </c>
      <c r="L44">
        <v>7</v>
      </c>
      <c r="M44" s="1" t="s">
        <v>19</v>
      </c>
      <c r="N44">
        <v>263</v>
      </c>
      <c r="O44">
        <v>183.52923999999999</v>
      </c>
    </row>
    <row r="45" spans="5:15" x14ac:dyDescent="0.35">
      <c r="E45">
        <v>826</v>
      </c>
      <c r="F45" s="1" t="s">
        <v>4</v>
      </c>
      <c r="G45">
        <v>285704.59000000003</v>
      </c>
      <c r="H45">
        <v>43</v>
      </c>
      <c r="K45">
        <v>2022</v>
      </c>
      <c r="L45">
        <v>8</v>
      </c>
      <c r="M45" s="1" t="s">
        <v>14</v>
      </c>
      <c r="N45">
        <v>236</v>
      </c>
      <c r="O45">
        <v>28.958898000000001</v>
      </c>
    </row>
    <row r="46" spans="5:15" x14ac:dyDescent="0.35">
      <c r="E46">
        <v>815</v>
      </c>
      <c r="F46" s="1" t="s">
        <v>4</v>
      </c>
      <c r="G46">
        <v>279646.07</v>
      </c>
      <c r="H46">
        <v>44</v>
      </c>
      <c r="K46">
        <v>2022</v>
      </c>
      <c r="L46">
        <v>8</v>
      </c>
      <c r="M46" s="1" t="s">
        <v>15</v>
      </c>
      <c r="N46">
        <v>213</v>
      </c>
      <c r="O46">
        <v>27.671925000000002</v>
      </c>
    </row>
    <row r="47" spans="5:15" x14ac:dyDescent="0.35">
      <c r="E47">
        <v>802</v>
      </c>
      <c r="F47" s="1" t="s">
        <v>4</v>
      </c>
      <c r="G47">
        <v>276965.55</v>
      </c>
      <c r="H47">
        <v>45</v>
      </c>
      <c r="K47">
        <v>2022</v>
      </c>
      <c r="L47">
        <v>8</v>
      </c>
      <c r="M47" s="1" t="s">
        <v>16</v>
      </c>
      <c r="N47">
        <v>273</v>
      </c>
      <c r="O47">
        <v>30.33652</v>
      </c>
    </row>
    <row r="48" spans="5:15" x14ac:dyDescent="0.35">
      <c r="E48">
        <v>803</v>
      </c>
      <c r="F48" s="1" t="s">
        <v>4</v>
      </c>
      <c r="G48">
        <v>269375.90999999997</v>
      </c>
      <c r="H48">
        <v>46</v>
      </c>
      <c r="K48">
        <v>2022</v>
      </c>
      <c r="L48">
        <v>8</v>
      </c>
      <c r="M48" s="1" t="s">
        <v>17</v>
      </c>
      <c r="N48">
        <v>265</v>
      </c>
      <c r="O48">
        <v>11.026980999999999</v>
      </c>
    </row>
    <row r="49" spans="5:15" x14ac:dyDescent="0.35">
      <c r="E49">
        <v>808</v>
      </c>
      <c r="F49" s="1" t="s">
        <v>4</v>
      </c>
      <c r="G49">
        <v>266982.83</v>
      </c>
      <c r="H49">
        <v>47</v>
      </c>
      <c r="K49">
        <v>2022</v>
      </c>
      <c r="L49">
        <v>8</v>
      </c>
      <c r="M49" s="1" t="s">
        <v>18</v>
      </c>
      <c r="N49">
        <v>303</v>
      </c>
      <c r="O49">
        <v>423.52</v>
      </c>
    </row>
    <row r="50" spans="5:15" x14ac:dyDescent="0.35">
      <c r="E50">
        <v>832</v>
      </c>
      <c r="F50" s="1" t="s">
        <v>4</v>
      </c>
      <c r="G50">
        <v>261593.2</v>
      </c>
      <c r="H50">
        <v>48</v>
      </c>
      <c r="K50">
        <v>2022</v>
      </c>
      <c r="L50">
        <v>8</v>
      </c>
      <c r="M50" s="1" t="s">
        <v>19</v>
      </c>
      <c r="N50">
        <v>279</v>
      </c>
      <c r="O50">
        <v>183.671685</v>
      </c>
    </row>
    <row r="51" spans="5:15" x14ac:dyDescent="0.35">
      <c r="E51">
        <v>837</v>
      </c>
      <c r="F51" s="1" t="s">
        <v>4</v>
      </c>
      <c r="G51">
        <v>67112.570000000007</v>
      </c>
      <c r="H51">
        <v>49</v>
      </c>
      <c r="K51">
        <v>2022</v>
      </c>
      <c r="L51">
        <v>9</v>
      </c>
      <c r="M51" s="1" t="s">
        <v>14</v>
      </c>
      <c r="N51">
        <v>216</v>
      </c>
      <c r="O51">
        <v>30.622129999999999</v>
      </c>
    </row>
    <row r="52" spans="5:15" x14ac:dyDescent="0.35">
      <c r="K52">
        <v>2022</v>
      </c>
      <c r="L52">
        <v>9</v>
      </c>
      <c r="M52" s="1" t="s">
        <v>15</v>
      </c>
      <c r="N52">
        <v>219</v>
      </c>
      <c r="O52">
        <v>31.660364999999999</v>
      </c>
    </row>
    <row r="53" spans="5:15" x14ac:dyDescent="0.35">
      <c r="K53">
        <v>2022</v>
      </c>
      <c r="L53">
        <v>9</v>
      </c>
      <c r="M53" s="1" t="s">
        <v>16</v>
      </c>
      <c r="N53">
        <v>245</v>
      </c>
      <c r="O53">
        <v>30.940204000000001</v>
      </c>
    </row>
    <row r="54" spans="5:15" x14ac:dyDescent="0.35">
      <c r="K54">
        <v>2022</v>
      </c>
      <c r="L54">
        <v>9</v>
      </c>
      <c r="M54" s="1" t="s">
        <v>17</v>
      </c>
      <c r="N54">
        <v>250</v>
      </c>
      <c r="O54">
        <v>9.4481199999999994</v>
      </c>
    </row>
    <row r="55" spans="5:15" x14ac:dyDescent="0.35">
      <c r="K55">
        <v>2022</v>
      </c>
      <c r="L55">
        <v>9</v>
      </c>
      <c r="M55" s="1" t="s">
        <v>18</v>
      </c>
      <c r="N55">
        <v>238</v>
      </c>
      <c r="O55">
        <v>386.35600799999997</v>
      </c>
    </row>
    <row r="56" spans="5:15" x14ac:dyDescent="0.35">
      <c r="K56">
        <v>2022</v>
      </c>
      <c r="L56">
        <v>9</v>
      </c>
      <c r="M56" s="1" t="s">
        <v>19</v>
      </c>
      <c r="N56">
        <v>248</v>
      </c>
      <c r="O56">
        <v>175.44205600000001</v>
      </c>
    </row>
    <row r="57" spans="5:15" x14ac:dyDescent="0.35">
      <c r="K57">
        <v>2022</v>
      </c>
      <c r="L57">
        <v>10</v>
      </c>
      <c r="M57" s="1" t="s">
        <v>14</v>
      </c>
      <c r="N57">
        <v>237</v>
      </c>
      <c r="O57">
        <v>31.936540000000001</v>
      </c>
    </row>
    <row r="58" spans="5:15" x14ac:dyDescent="0.35">
      <c r="K58">
        <v>2022</v>
      </c>
      <c r="L58">
        <v>10</v>
      </c>
      <c r="M58" s="1" t="s">
        <v>15</v>
      </c>
      <c r="N58">
        <v>238</v>
      </c>
      <c r="O58">
        <v>32.466807000000003</v>
      </c>
    </row>
    <row r="59" spans="5:15" x14ac:dyDescent="0.35">
      <c r="K59">
        <v>2022</v>
      </c>
      <c r="L59">
        <v>10</v>
      </c>
      <c r="M59" s="1" t="s">
        <v>16</v>
      </c>
      <c r="N59">
        <v>301</v>
      </c>
      <c r="O59">
        <v>33.367508000000001</v>
      </c>
    </row>
    <row r="60" spans="5:15" x14ac:dyDescent="0.35">
      <c r="K60">
        <v>2022</v>
      </c>
      <c r="L60">
        <v>10</v>
      </c>
      <c r="M60" s="1" t="s">
        <v>17</v>
      </c>
      <c r="N60">
        <v>254</v>
      </c>
      <c r="O60">
        <v>10.582756</v>
      </c>
    </row>
    <row r="61" spans="5:15" x14ac:dyDescent="0.35">
      <c r="K61">
        <v>2022</v>
      </c>
      <c r="L61">
        <v>10</v>
      </c>
      <c r="M61" s="1" t="s">
        <v>18</v>
      </c>
      <c r="N61">
        <v>282</v>
      </c>
      <c r="O61">
        <v>433.54790800000001</v>
      </c>
    </row>
    <row r="62" spans="5:15" x14ac:dyDescent="0.35">
      <c r="K62">
        <v>2022</v>
      </c>
      <c r="L62">
        <v>10</v>
      </c>
      <c r="M62" s="1" t="s">
        <v>19</v>
      </c>
      <c r="N62">
        <v>281</v>
      </c>
      <c r="O62">
        <v>178.41587200000001</v>
      </c>
    </row>
    <row r="63" spans="5:15" x14ac:dyDescent="0.35">
      <c r="K63">
        <v>2022</v>
      </c>
      <c r="L63">
        <v>11</v>
      </c>
      <c r="M63" s="1" t="s">
        <v>14</v>
      </c>
      <c r="N63">
        <v>250</v>
      </c>
      <c r="O63">
        <v>32.504399999999997</v>
      </c>
    </row>
    <row r="64" spans="5:15" x14ac:dyDescent="0.35">
      <c r="K64">
        <v>2022</v>
      </c>
      <c r="L64">
        <v>11</v>
      </c>
      <c r="M64" s="1" t="s">
        <v>15</v>
      </c>
      <c r="N64">
        <v>221</v>
      </c>
      <c r="O64">
        <v>28.248507</v>
      </c>
    </row>
    <row r="65" spans="11:15" x14ac:dyDescent="0.35">
      <c r="K65">
        <v>2022</v>
      </c>
      <c r="L65">
        <v>11</v>
      </c>
      <c r="M65" s="1" t="s">
        <v>16</v>
      </c>
      <c r="N65">
        <v>239</v>
      </c>
      <c r="O65">
        <v>29.483388999999999</v>
      </c>
    </row>
    <row r="66" spans="11:15" x14ac:dyDescent="0.35">
      <c r="K66">
        <v>2022</v>
      </c>
      <c r="L66">
        <v>11</v>
      </c>
      <c r="M66" s="1" t="s">
        <v>17</v>
      </c>
      <c r="N66">
        <v>266</v>
      </c>
      <c r="O66">
        <v>11.036466000000001</v>
      </c>
    </row>
    <row r="67" spans="11:15" x14ac:dyDescent="0.35">
      <c r="K67">
        <v>2022</v>
      </c>
      <c r="L67">
        <v>11</v>
      </c>
      <c r="M67" s="1" t="s">
        <v>18</v>
      </c>
      <c r="N67">
        <v>288</v>
      </c>
      <c r="O67">
        <v>437.049306</v>
      </c>
    </row>
    <row r="68" spans="11:15" x14ac:dyDescent="0.35">
      <c r="K68">
        <v>2022</v>
      </c>
      <c r="L68">
        <v>11</v>
      </c>
      <c r="M68" s="1" t="s">
        <v>19</v>
      </c>
      <c r="N68">
        <v>287</v>
      </c>
      <c r="O68">
        <v>181.68529599999999</v>
      </c>
    </row>
    <row r="69" spans="11:15" x14ac:dyDescent="0.35">
      <c r="K69">
        <v>2022</v>
      </c>
      <c r="L69">
        <v>12</v>
      </c>
      <c r="M69" s="1" t="s">
        <v>14</v>
      </c>
      <c r="N69">
        <v>259</v>
      </c>
      <c r="O69">
        <v>33.985328000000003</v>
      </c>
    </row>
    <row r="70" spans="11:15" x14ac:dyDescent="0.35">
      <c r="K70">
        <v>2022</v>
      </c>
      <c r="L70">
        <v>12</v>
      </c>
      <c r="M70" s="1" t="s">
        <v>15</v>
      </c>
      <c r="N70">
        <v>221</v>
      </c>
      <c r="O70">
        <v>34.319276000000002</v>
      </c>
    </row>
    <row r="71" spans="11:15" x14ac:dyDescent="0.35">
      <c r="K71">
        <v>2022</v>
      </c>
      <c r="L71">
        <v>12</v>
      </c>
      <c r="M71" s="1" t="s">
        <v>16</v>
      </c>
      <c r="N71">
        <v>271</v>
      </c>
      <c r="O71">
        <v>32.448303000000003</v>
      </c>
    </row>
    <row r="72" spans="11:15" x14ac:dyDescent="0.35">
      <c r="K72">
        <v>2022</v>
      </c>
      <c r="L72">
        <v>12</v>
      </c>
      <c r="M72" s="1" t="s">
        <v>17</v>
      </c>
      <c r="N72">
        <v>287</v>
      </c>
      <c r="O72">
        <v>10.247213</v>
      </c>
    </row>
    <row r="73" spans="11:15" x14ac:dyDescent="0.35">
      <c r="K73">
        <v>2022</v>
      </c>
      <c r="L73">
        <v>12</v>
      </c>
      <c r="M73" s="1" t="s">
        <v>18</v>
      </c>
      <c r="N73">
        <v>291</v>
      </c>
      <c r="O73">
        <v>487.61518899999999</v>
      </c>
    </row>
    <row r="74" spans="11:15" x14ac:dyDescent="0.35">
      <c r="K74">
        <v>2022</v>
      </c>
      <c r="L74">
        <v>12</v>
      </c>
      <c r="M74" s="1" t="s">
        <v>19</v>
      </c>
      <c r="N74">
        <v>305</v>
      </c>
      <c r="O74">
        <v>184.667508</v>
      </c>
    </row>
    <row r="75" spans="11:15" x14ac:dyDescent="0.35">
      <c r="K75">
        <v>2023</v>
      </c>
      <c r="L75">
        <v>1</v>
      </c>
      <c r="M75" s="1" t="s">
        <v>14</v>
      </c>
      <c r="N75">
        <v>354</v>
      </c>
      <c r="O75">
        <v>33.889944</v>
      </c>
    </row>
    <row r="76" spans="11:15" x14ac:dyDescent="0.35">
      <c r="K76">
        <v>2023</v>
      </c>
      <c r="L76">
        <v>1</v>
      </c>
      <c r="M76" s="1" t="s">
        <v>15</v>
      </c>
      <c r="N76">
        <v>270</v>
      </c>
      <c r="O76">
        <v>33.073222000000001</v>
      </c>
    </row>
    <row r="77" spans="11:15" x14ac:dyDescent="0.35">
      <c r="K77">
        <v>2023</v>
      </c>
      <c r="L77">
        <v>1</v>
      </c>
      <c r="M77" s="1" t="s">
        <v>16</v>
      </c>
      <c r="N77">
        <v>317</v>
      </c>
      <c r="O77">
        <v>37.586215000000003</v>
      </c>
    </row>
    <row r="78" spans="11:15" x14ac:dyDescent="0.35">
      <c r="K78">
        <v>2023</v>
      </c>
      <c r="L78">
        <v>1</v>
      </c>
      <c r="M78" s="1" t="s">
        <v>17</v>
      </c>
      <c r="N78">
        <v>328</v>
      </c>
      <c r="O78">
        <v>10.543811</v>
      </c>
    </row>
    <row r="79" spans="11:15" x14ac:dyDescent="0.35">
      <c r="K79">
        <v>2023</v>
      </c>
      <c r="L79">
        <v>1</v>
      </c>
      <c r="M79" s="1" t="s">
        <v>18</v>
      </c>
      <c r="N79">
        <v>382</v>
      </c>
      <c r="O79">
        <v>462.33073300000001</v>
      </c>
    </row>
    <row r="80" spans="11:15" x14ac:dyDescent="0.35">
      <c r="K80">
        <v>2023</v>
      </c>
      <c r="L80">
        <v>1</v>
      </c>
      <c r="M80" s="1" t="s">
        <v>19</v>
      </c>
      <c r="N80">
        <v>203</v>
      </c>
      <c r="O80">
        <v>168.952956</v>
      </c>
    </row>
    <row r="81" spans="11:15" x14ac:dyDescent="0.35">
      <c r="K81">
        <v>2023</v>
      </c>
      <c r="L81">
        <v>2</v>
      </c>
      <c r="M81" s="1" t="s">
        <v>14</v>
      </c>
      <c r="N81">
        <v>291</v>
      </c>
      <c r="O81">
        <v>32.534844999999997</v>
      </c>
    </row>
    <row r="82" spans="11:15" x14ac:dyDescent="0.35">
      <c r="K82">
        <v>2023</v>
      </c>
      <c r="L82">
        <v>2</v>
      </c>
      <c r="M82" s="1" t="s">
        <v>15</v>
      </c>
      <c r="N82">
        <v>261</v>
      </c>
      <c r="O82">
        <v>31.903639999999999</v>
      </c>
    </row>
    <row r="83" spans="11:15" x14ac:dyDescent="0.35">
      <c r="K83">
        <v>2023</v>
      </c>
      <c r="L83">
        <v>2</v>
      </c>
      <c r="M83" s="1" t="s">
        <v>16</v>
      </c>
      <c r="N83">
        <v>284</v>
      </c>
      <c r="O83">
        <v>29.190035000000002</v>
      </c>
    </row>
    <row r="84" spans="11:15" x14ac:dyDescent="0.35">
      <c r="K84">
        <v>2023</v>
      </c>
      <c r="L84">
        <v>2</v>
      </c>
      <c r="M84" s="1" t="s">
        <v>17</v>
      </c>
      <c r="N84">
        <v>302</v>
      </c>
      <c r="O84">
        <v>10.402583</v>
      </c>
    </row>
    <row r="85" spans="11:15" x14ac:dyDescent="0.35">
      <c r="K85">
        <v>2023</v>
      </c>
      <c r="L85">
        <v>2</v>
      </c>
      <c r="M85" s="1" t="s">
        <v>18</v>
      </c>
      <c r="N85">
        <v>339</v>
      </c>
      <c r="O85">
        <v>462.38516199999998</v>
      </c>
    </row>
    <row r="86" spans="11:15" x14ac:dyDescent="0.35">
      <c r="K86">
        <v>2023</v>
      </c>
      <c r="L86">
        <v>2</v>
      </c>
      <c r="M86" s="1" t="s">
        <v>19</v>
      </c>
      <c r="N86">
        <v>171</v>
      </c>
      <c r="O86">
        <v>170.59613999999999</v>
      </c>
    </row>
    <row r="87" spans="11:15" x14ac:dyDescent="0.35">
      <c r="K87">
        <v>2023</v>
      </c>
      <c r="L87">
        <v>3</v>
      </c>
      <c r="M87" s="1" t="s">
        <v>14</v>
      </c>
      <c r="N87">
        <v>317</v>
      </c>
      <c r="O87">
        <v>32.86918</v>
      </c>
    </row>
    <row r="88" spans="11:15" x14ac:dyDescent="0.35">
      <c r="K88">
        <v>2023</v>
      </c>
      <c r="L88">
        <v>3</v>
      </c>
      <c r="M88" s="1" t="s">
        <v>15</v>
      </c>
      <c r="N88">
        <v>267</v>
      </c>
      <c r="O88">
        <v>32.658202000000003</v>
      </c>
    </row>
    <row r="89" spans="11:15" x14ac:dyDescent="0.35">
      <c r="K89">
        <v>2023</v>
      </c>
      <c r="L89">
        <v>3</v>
      </c>
      <c r="M89" s="1" t="s">
        <v>16</v>
      </c>
      <c r="N89">
        <v>333</v>
      </c>
      <c r="O89">
        <v>30.78012</v>
      </c>
    </row>
    <row r="90" spans="11:15" x14ac:dyDescent="0.35">
      <c r="K90">
        <v>2023</v>
      </c>
      <c r="L90">
        <v>3</v>
      </c>
      <c r="M90" s="1" t="s">
        <v>17</v>
      </c>
      <c r="N90">
        <v>350</v>
      </c>
      <c r="O90">
        <v>10.192171</v>
      </c>
    </row>
    <row r="91" spans="11:15" x14ac:dyDescent="0.35">
      <c r="K91">
        <v>2023</v>
      </c>
      <c r="L91">
        <v>3</v>
      </c>
      <c r="M91" s="1" t="s">
        <v>18</v>
      </c>
      <c r="N91">
        <v>317</v>
      </c>
      <c r="O91">
        <v>453.23078900000002</v>
      </c>
    </row>
    <row r="92" spans="11:15" x14ac:dyDescent="0.35">
      <c r="K92">
        <v>2023</v>
      </c>
      <c r="L92">
        <v>3</v>
      </c>
      <c r="M92" s="1" t="s">
        <v>19</v>
      </c>
      <c r="N92">
        <v>209</v>
      </c>
      <c r="O92">
        <v>171.13220100000001</v>
      </c>
    </row>
    <row r="93" spans="11:15" x14ac:dyDescent="0.35">
      <c r="K93">
        <v>2023</v>
      </c>
      <c r="L93">
        <v>4</v>
      </c>
      <c r="M93" s="1" t="s">
        <v>14</v>
      </c>
      <c r="N93">
        <v>328</v>
      </c>
      <c r="O93">
        <v>32.138323</v>
      </c>
    </row>
    <row r="94" spans="11:15" x14ac:dyDescent="0.35">
      <c r="K94">
        <v>2023</v>
      </c>
      <c r="L94">
        <v>4</v>
      </c>
      <c r="M94" s="1" t="s">
        <v>15</v>
      </c>
      <c r="N94">
        <v>273</v>
      </c>
      <c r="O94">
        <v>30.515971</v>
      </c>
    </row>
    <row r="95" spans="11:15" x14ac:dyDescent="0.35">
      <c r="K95">
        <v>2023</v>
      </c>
      <c r="L95">
        <v>4</v>
      </c>
      <c r="M95" s="1" t="s">
        <v>16</v>
      </c>
      <c r="N95">
        <v>326</v>
      </c>
      <c r="O95">
        <v>31.787147000000001</v>
      </c>
    </row>
    <row r="96" spans="11:15" x14ac:dyDescent="0.35">
      <c r="K96">
        <v>2023</v>
      </c>
      <c r="L96">
        <v>4</v>
      </c>
      <c r="M96" s="1" t="s">
        <v>17</v>
      </c>
      <c r="N96">
        <v>348</v>
      </c>
      <c r="O96">
        <v>10.265287000000001</v>
      </c>
    </row>
    <row r="97" spans="11:15" x14ac:dyDescent="0.35">
      <c r="K97">
        <v>2023</v>
      </c>
      <c r="L97">
        <v>4</v>
      </c>
      <c r="M97" s="1" t="s">
        <v>18</v>
      </c>
      <c r="N97">
        <v>381</v>
      </c>
      <c r="O97">
        <v>484.20548600000001</v>
      </c>
    </row>
    <row r="98" spans="11:15" x14ac:dyDescent="0.35">
      <c r="K98">
        <v>2023</v>
      </c>
      <c r="L98">
        <v>4</v>
      </c>
      <c r="M98" s="1" t="s">
        <v>19</v>
      </c>
      <c r="N98">
        <v>212</v>
      </c>
      <c r="O98">
        <v>170.118066</v>
      </c>
    </row>
    <row r="99" spans="11:15" x14ac:dyDescent="0.35">
      <c r="K99">
        <v>2023</v>
      </c>
      <c r="L99">
        <v>5</v>
      </c>
      <c r="M99" s="1" t="s">
        <v>14</v>
      </c>
      <c r="N99">
        <v>323</v>
      </c>
      <c r="O99">
        <v>30.622848000000001</v>
      </c>
    </row>
    <row r="100" spans="11:15" x14ac:dyDescent="0.35">
      <c r="K100">
        <v>2023</v>
      </c>
      <c r="L100">
        <v>5</v>
      </c>
      <c r="M100" s="1" t="s">
        <v>15</v>
      </c>
      <c r="N100">
        <v>284</v>
      </c>
      <c r="O100">
        <v>33.255282000000001</v>
      </c>
    </row>
    <row r="101" spans="11:15" x14ac:dyDescent="0.35">
      <c r="K101">
        <v>2023</v>
      </c>
      <c r="L101">
        <v>5</v>
      </c>
      <c r="M101" s="1" t="s">
        <v>16</v>
      </c>
      <c r="N101">
        <v>286</v>
      </c>
      <c r="O101">
        <v>32.182761999999997</v>
      </c>
    </row>
    <row r="102" spans="11:15" x14ac:dyDescent="0.35">
      <c r="K102">
        <v>2023</v>
      </c>
      <c r="L102">
        <v>5</v>
      </c>
      <c r="M102" s="1" t="s">
        <v>17</v>
      </c>
      <c r="N102">
        <v>335</v>
      </c>
      <c r="O102">
        <v>10.154507000000001</v>
      </c>
    </row>
    <row r="103" spans="11:15" x14ac:dyDescent="0.35">
      <c r="K103">
        <v>2023</v>
      </c>
      <c r="L103">
        <v>5</v>
      </c>
      <c r="M103" s="1" t="s">
        <v>18</v>
      </c>
      <c r="N103">
        <v>349</v>
      </c>
      <c r="O103">
        <v>491.46853900000002</v>
      </c>
    </row>
    <row r="104" spans="11:15" x14ac:dyDescent="0.35">
      <c r="K104">
        <v>2023</v>
      </c>
      <c r="L104">
        <v>5</v>
      </c>
      <c r="M104" s="1" t="s">
        <v>19</v>
      </c>
      <c r="N104">
        <v>198</v>
      </c>
      <c r="O104">
        <v>165.692677</v>
      </c>
    </row>
    <row r="105" spans="11:15" x14ac:dyDescent="0.35">
      <c r="K105">
        <v>2023</v>
      </c>
      <c r="L105">
        <v>6</v>
      </c>
      <c r="M105" s="1" t="s">
        <v>14</v>
      </c>
      <c r="N105">
        <v>300</v>
      </c>
      <c r="O105">
        <v>31.368167</v>
      </c>
    </row>
    <row r="106" spans="11:15" x14ac:dyDescent="0.35">
      <c r="K106">
        <v>2023</v>
      </c>
      <c r="L106">
        <v>6</v>
      </c>
      <c r="M106" s="1" t="s">
        <v>15</v>
      </c>
      <c r="N106">
        <v>257</v>
      </c>
      <c r="O106">
        <v>32.43</v>
      </c>
    </row>
    <row r="107" spans="11:15" x14ac:dyDescent="0.35">
      <c r="K107">
        <v>2023</v>
      </c>
      <c r="L107">
        <v>6</v>
      </c>
      <c r="M107" s="1" t="s">
        <v>16</v>
      </c>
      <c r="N107">
        <v>301</v>
      </c>
      <c r="O107">
        <v>32.165548000000001</v>
      </c>
    </row>
    <row r="108" spans="11:15" x14ac:dyDescent="0.35">
      <c r="K108">
        <v>2023</v>
      </c>
      <c r="L108">
        <v>6</v>
      </c>
      <c r="M108" s="1" t="s">
        <v>17</v>
      </c>
      <c r="N108">
        <v>322</v>
      </c>
      <c r="O108">
        <v>9.8221430000000005</v>
      </c>
    </row>
    <row r="109" spans="11:15" x14ac:dyDescent="0.35">
      <c r="K109">
        <v>2023</v>
      </c>
      <c r="L109">
        <v>6</v>
      </c>
      <c r="M109" s="1" t="s">
        <v>18</v>
      </c>
      <c r="N109">
        <v>332</v>
      </c>
      <c r="O109">
        <v>516.63250000000005</v>
      </c>
    </row>
    <row r="110" spans="11:15" x14ac:dyDescent="0.35">
      <c r="K110">
        <v>2023</v>
      </c>
      <c r="L110">
        <v>6</v>
      </c>
      <c r="M110" s="1" t="s">
        <v>19</v>
      </c>
      <c r="N110">
        <v>241</v>
      </c>
      <c r="O110">
        <v>172.16560200000001</v>
      </c>
    </row>
    <row r="111" spans="11:15" x14ac:dyDescent="0.35">
      <c r="K111">
        <v>2023</v>
      </c>
      <c r="L111">
        <v>7</v>
      </c>
      <c r="M111" s="1" t="s">
        <v>14</v>
      </c>
      <c r="N111">
        <v>314</v>
      </c>
      <c r="O111">
        <v>32.776369000000003</v>
      </c>
    </row>
    <row r="112" spans="11:15" x14ac:dyDescent="0.35">
      <c r="K112">
        <v>2023</v>
      </c>
      <c r="L112">
        <v>7</v>
      </c>
      <c r="M112" s="1" t="s">
        <v>15</v>
      </c>
      <c r="N112">
        <v>258</v>
      </c>
      <c r="O112">
        <v>29.939146999999998</v>
      </c>
    </row>
    <row r="113" spans="11:15" x14ac:dyDescent="0.35">
      <c r="K113">
        <v>2023</v>
      </c>
      <c r="L113">
        <v>7</v>
      </c>
      <c r="M113" s="1" t="s">
        <v>16</v>
      </c>
      <c r="N113">
        <v>293</v>
      </c>
      <c r="O113">
        <v>31.283652</v>
      </c>
    </row>
    <row r="114" spans="11:15" x14ac:dyDescent="0.35">
      <c r="K114">
        <v>2023</v>
      </c>
      <c r="L114">
        <v>7</v>
      </c>
      <c r="M114" s="1" t="s">
        <v>17</v>
      </c>
      <c r="N114">
        <v>306</v>
      </c>
      <c r="O114">
        <v>10.785588000000001</v>
      </c>
    </row>
    <row r="115" spans="11:15" x14ac:dyDescent="0.35">
      <c r="K115">
        <v>2023</v>
      </c>
      <c r="L115">
        <v>7</v>
      </c>
      <c r="M115" s="1" t="s">
        <v>18</v>
      </c>
      <c r="N115">
        <v>338</v>
      </c>
      <c r="O115">
        <v>412.80760400000003</v>
      </c>
    </row>
    <row r="116" spans="11:15" x14ac:dyDescent="0.35">
      <c r="K116">
        <v>2023</v>
      </c>
      <c r="L116">
        <v>7</v>
      </c>
      <c r="M116" s="1" t="s">
        <v>19</v>
      </c>
      <c r="N116">
        <v>277</v>
      </c>
      <c r="O116">
        <v>175.64368200000001</v>
      </c>
    </row>
    <row r="117" spans="11:15" x14ac:dyDescent="0.35">
      <c r="K117">
        <v>2023</v>
      </c>
      <c r="L117">
        <v>8</v>
      </c>
      <c r="M117" s="1" t="s">
        <v>14</v>
      </c>
      <c r="N117">
        <v>299</v>
      </c>
      <c r="O117">
        <v>34.006722000000003</v>
      </c>
    </row>
    <row r="118" spans="11:15" x14ac:dyDescent="0.35">
      <c r="K118">
        <v>2023</v>
      </c>
      <c r="L118">
        <v>8</v>
      </c>
      <c r="M118" s="1" t="s">
        <v>15</v>
      </c>
      <c r="N118">
        <v>273</v>
      </c>
      <c r="O118">
        <v>30.897949000000001</v>
      </c>
    </row>
    <row r="119" spans="11:15" x14ac:dyDescent="0.35">
      <c r="K119">
        <v>2023</v>
      </c>
      <c r="L119">
        <v>8</v>
      </c>
      <c r="M119" s="1" t="s">
        <v>16</v>
      </c>
      <c r="N119">
        <v>333</v>
      </c>
      <c r="O119">
        <v>33.141652000000001</v>
      </c>
    </row>
    <row r="120" spans="11:15" x14ac:dyDescent="0.35">
      <c r="K120">
        <v>2023</v>
      </c>
      <c r="L120">
        <v>8</v>
      </c>
      <c r="M120" s="1" t="s">
        <v>17</v>
      </c>
      <c r="N120">
        <v>324</v>
      </c>
      <c r="O120">
        <v>10.23892</v>
      </c>
    </row>
    <row r="121" spans="11:15" x14ac:dyDescent="0.35">
      <c r="K121">
        <v>2023</v>
      </c>
      <c r="L121">
        <v>8</v>
      </c>
      <c r="M121" s="1" t="s">
        <v>18</v>
      </c>
      <c r="N121">
        <v>325</v>
      </c>
      <c r="O121">
        <v>462.04138499999999</v>
      </c>
    </row>
    <row r="122" spans="11:15" x14ac:dyDescent="0.35">
      <c r="K122">
        <v>2023</v>
      </c>
      <c r="L122">
        <v>8</v>
      </c>
      <c r="M122" s="1" t="s">
        <v>19</v>
      </c>
      <c r="N122">
        <v>283</v>
      </c>
      <c r="O122">
        <v>177.16109499999999</v>
      </c>
    </row>
    <row r="123" spans="11:15" x14ac:dyDescent="0.35">
      <c r="K123">
        <v>2023</v>
      </c>
      <c r="L123">
        <v>9</v>
      </c>
      <c r="M123" s="1" t="s">
        <v>14</v>
      </c>
      <c r="N123">
        <v>279</v>
      </c>
      <c r="O123">
        <v>33.627167999999998</v>
      </c>
    </row>
    <row r="124" spans="11:15" x14ac:dyDescent="0.35">
      <c r="K124">
        <v>2023</v>
      </c>
      <c r="L124">
        <v>9</v>
      </c>
      <c r="M124" s="1" t="s">
        <v>15</v>
      </c>
      <c r="N124">
        <v>229</v>
      </c>
      <c r="O124">
        <v>31.063668</v>
      </c>
    </row>
    <row r="125" spans="11:15" x14ac:dyDescent="0.35">
      <c r="K125">
        <v>2023</v>
      </c>
      <c r="L125">
        <v>9</v>
      </c>
      <c r="M125" s="1" t="s">
        <v>16</v>
      </c>
      <c r="N125">
        <v>299</v>
      </c>
      <c r="O125">
        <v>32.658026999999997</v>
      </c>
    </row>
    <row r="126" spans="11:15" x14ac:dyDescent="0.35">
      <c r="K126">
        <v>2023</v>
      </c>
      <c r="L126">
        <v>9</v>
      </c>
      <c r="M126" s="1" t="s">
        <v>17</v>
      </c>
      <c r="N126">
        <v>304</v>
      </c>
      <c r="O126">
        <v>10.613586</v>
      </c>
    </row>
    <row r="127" spans="11:15" x14ac:dyDescent="0.35">
      <c r="K127">
        <v>2023</v>
      </c>
      <c r="L127">
        <v>9</v>
      </c>
      <c r="M127" s="1" t="s">
        <v>18</v>
      </c>
      <c r="N127">
        <v>335</v>
      </c>
      <c r="O127">
        <v>447.19489600000003</v>
      </c>
    </row>
    <row r="128" spans="11:15" x14ac:dyDescent="0.35">
      <c r="K128">
        <v>2023</v>
      </c>
      <c r="L128">
        <v>9</v>
      </c>
      <c r="M128" s="1" t="s">
        <v>19</v>
      </c>
      <c r="N128">
        <v>283</v>
      </c>
      <c r="O128">
        <v>170.81710200000001</v>
      </c>
    </row>
    <row r="129" spans="11:15" x14ac:dyDescent="0.35">
      <c r="K129">
        <v>2023</v>
      </c>
      <c r="L129">
        <v>10</v>
      </c>
      <c r="M129" s="1" t="s">
        <v>14</v>
      </c>
      <c r="N129">
        <v>321</v>
      </c>
      <c r="O129">
        <v>30.681899999999999</v>
      </c>
    </row>
    <row r="130" spans="11:15" x14ac:dyDescent="0.35">
      <c r="K130">
        <v>2023</v>
      </c>
      <c r="L130">
        <v>10</v>
      </c>
      <c r="M130" s="1" t="s">
        <v>15</v>
      </c>
      <c r="N130">
        <v>263</v>
      </c>
      <c r="O130">
        <v>29.712700000000002</v>
      </c>
    </row>
    <row r="131" spans="11:15" x14ac:dyDescent="0.35">
      <c r="K131">
        <v>2023</v>
      </c>
      <c r="L131">
        <v>10</v>
      </c>
      <c r="M131" s="1" t="s">
        <v>16</v>
      </c>
      <c r="N131">
        <v>294</v>
      </c>
      <c r="O131">
        <v>29.397822999999999</v>
      </c>
    </row>
    <row r="132" spans="11:15" x14ac:dyDescent="0.35">
      <c r="K132">
        <v>2023</v>
      </c>
      <c r="L132">
        <v>10</v>
      </c>
      <c r="M132" s="1" t="s">
        <v>17</v>
      </c>
      <c r="N132">
        <v>329</v>
      </c>
      <c r="O132">
        <v>10.429970000000001</v>
      </c>
    </row>
    <row r="133" spans="11:15" x14ac:dyDescent="0.35">
      <c r="K133">
        <v>2023</v>
      </c>
      <c r="L133">
        <v>10</v>
      </c>
      <c r="M133" s="1" t="s">
        <v>18</v>
      </c>
      <c r="N133">
        <v>363</v>
      </c>
      <c r="O133">
        <v>458.19435299999998</v>
      </c>
    </row>
    <row r="134" spans="11:15" x14ac:dyDescent="0.35">
      <c r="K134">
        <v>2023</v>
      </c>
      <c r="L134">
        <v>10</v>
      </c>
      <c r="M134" s="1" t="s">
        <v>19</v>
      </c>
      <c r="N134">
        <v>301</v>
      </c>
      <c r="O134">
        <v>172.86687699999999</v>
      </c>
    </row>
    <row r="135" spans="11:15" x14ac:dyDescent="0.35">
      <c r="K135">
        <v>2023</v>
      </c>
      <c r="L135">
        <v>11</v>
      </c>
      <c r="M135" s="1" t="s">
        <v>14</v>
      </c>
      <c r="N135">
        <v>282</v>
      </c>
      <c r="O135">
        <v>32.719113</v>
      </c>
    </row>
    <row r="136" spans="11:15" x14ac:dyDescent="0.35">
      <c r="K136">
        <v>2023</v>
      </c>
      <c r="L136">
        <v>11</v>
      </c>
      <c r="M136" s="1" t="s">
        <v>15</v>
      </c>
      <c r="N136">
        <v>254</v>
      </c>
      <c r="O136">
        <v>29.179684999999999</v>
      </c>
    </row>
    <row r="137" spans="11:15" x14ac:dyDescent="0.35">
      <c r="K137">
        <v>2023</v>
      </c>
      <c r="L137">
        <v>11</v>
      </c>
      <c r="M137" s="1" t="s">
        <v>16</v>
      </c>
      <c r="N137">
        <v>273</v>
      </c>
      <c r="O137">
        <v>31.858242000000001</v>
      </c>
    </row>
    <row r="138" spans="11:15" x14ac:dyDescent="0.35">
      <c r="K138">
        <v>2023</v>
      </c>
      <c r="L138">
        <v>11</v>
      </c>
      <c r="M138" s="1" t="s">
        <v>17</v>
      </c>
      <c r="N138">
        <v>299</v>
      </c>
      <c r="O138">
        <v>10.748227</v>
      </c>
    </row>
    <row r="139" spans="11:15" x14ac:dyDescent="0.35">
      <c r="K139">
        <v>2023</v>
      </c>
      <c r="L139">
        <v>11</v>
      </c>
      <c r="M139" s="1" t="s">
        <v>18</v>
      </c>
      <c r="N139">
        <v>370</v>
      </c>
      <c r="O139">
        <v>441.745</v>
      </c>
    </row>
    <row r="140" spans="11:15" x14ac:dyDescent="0.35">
      <c r="K140">
        <v>2023</v>
      </c>
      <c r="L140">
        <v>11</v>
      </c>
      <c r="M140" s="1" t="s">
        <v>19</v>
      </c>
      <c r="N140">
        <v>297</v>
      </c>
      <c r="O140">
        <v>168.43380500000001</v>
      </c>
    </row>
    <row r="141" spans="11:15" x14ac:dyDescent="0.35">
      <c r="K141">
        <v>2023</v>
      </c>
      <c r="L141">
        <v>12</v>
      </c>
      <c r="M141" s="1" t="s">
        <v>14</v>
      </c>
      <c r="N141">
        <v>294</v>
      </c>
      <c r="O141">
        <v>31.855646</v>
      </c>
    </row>
    <row r="142" spans="11:15" x14ac:dyDescent="0.35">
      <c r="K142">
        <v>2023</v>
      </c>
      <c r="L142">
        <v>12</v>
      </c>
      <c r="M142" s="1" t="s">
        <v>15</v>
      </c>
      <c r="N142">
        <v>289</v>
      </c>
      <c r="O142">
        <v>33.198304</v>
      </c>
    </row>
    <row r="143" spans="11:15" x14ac:dyDescent="0.35">
      <c r="K143">
        <v>2023</v>
      </c>
      <c r="L143">
        <v>12</v>
      </c>
      <c r="M143" s="1" t="s">
        <v>16</v>
      </c>
      <c r="N143">
        <v>282</v>
      </c>
      <c r="O143">
        <v>32.277020999999998</v>
      </c>
    </row>
    <row r="144" spans="11:15" x14ac:dyDescent="0.35">
      <c r="K144">
        <v>2023</v>
      </c>
      <c r="L144">
        <v>12</v>
      </c>
      <c r="M144" s="1" t="s">
        <v>17</v>
      </c>
      <c r="N144">
        <v>318</v>
      </c>
      <c r="O144">
        <v>11.021981</v>
      </c>
    </row>
    <row r="145" spans="11:15" x14ac:dyDescent="0.35">
      <c r="K145">
        <v>2023</v>
      </c>
      <c r="L145">
        <v>12</v>
      </c>
      <c r="M145" s="1" t="s">
        <v>18</v>
      </c>
      <c r="N145">
        <v>351</v>
      </c>
      <c r="O145">
        <v>437.07051300000001</v>
      </c>
    </row>
    <row r="146" spans="11:15" x14ac:dyDescent="0.35">
      <c r="K146">
        <v>2023</v>
      </c>
      <c r="L146">
        <v>12</v>
      </c>
      <c r="M146" s="1" t="s">
        <v>19</v>
      </c>
      <c r="N146">
        <v>304</v>
      </c>
      <c r="O146">
        <v>167.95585500000001</v>
      </c>
    </row>
    <row r="147" spans="11:15" x14ac:dyDescent="0.35">
      <c r="K147">
        <v>2024</v>
      </c>
      <c r="L147">
        <v>1</v>
      </c>
      <c r="M147" s="1" t="s">
        <v>14</v>
      </c>
      <c r="N147">
        <v>318</v>
      </c>
      <c r="O147">
        <v>31.691164000000001</v>
      </c>
    </row>
    <row r="148" spans="11:15" x14ac:dyDescent="0.35">
      <c r="K148">
        <v>2024</v>
      </c>
      <c r="L148">
        <v>1</v>
      </c>
      <c r="M148" s="1" t="s">
        <v>15</v>
      </c>
      <c r="N148">
        <v>287</v>
      </c>
      <c r="O148">
        <v>31.61561</v>
      </c>
    </row>
    <row r="149" spans="11:15" x14ac:dyDescent="0.35">
      <c r="K149">
        <v>2024</v>
      </c>
      <c r="L149">
        <v>1</v>
      </c>
      <c r="M149" s="1" t="s">
        <v>16</v>
      </c>
      <c r="N149">
        <v>316</v>
      </c>
      <c r="O149">
        <v>29.142309999999998</v>
      </c>
    </row>
    <row r="150" spans="11:15" x14ac:dyDescent="0.35">
      <c r="K150">
        <v>2024</v>
      </c>
      <c r="L150">
        <v>1</v>
      </c>
      <c r="M150" s="1" t="s">
        <v>17</v>
      </c>
      <c r="N150">
        <v>338</v>
      </c>
      <c r="O150">
        <v>10.467781</v>
      </c>
    </row>
    <row r="151" spans="11:15" x14ac:dyDescent="0.35">
      <c r="K151">
        <v>2024</v>
      </c>
      <c r="L151">
        <v>1</v>
      </c>
      <c r="M151" s="1" t="s">
        <v>18</v>
      </c>
      <c r="N151">
        <v>366</v>
      </c>
      <c r="O151">
        <v>460.42636599999997</v>
      </c>
    </row>
    <row r="152" spans="11:15" x14ac:dyDescent="0.35">
      <c r="K152">
        <v>2024</v>
      </c>
      <c r="L152">
        <v>1</v>
      </c>
      <c r="M152" s="1" t="s">
        <v>19</v>
      </c>
      <c r="N152">
        <v>199</v>
      </c>
      <c r="O152">
        <v>172.03864300000001</v>
      </c>
    </row>
    <row r="153" spans="11:15" x14ac:dyDescent="0.35">
      <c r="K153">
        <v>2024</v>
      </c>
      <c r="L153">
        <v>2</v>
      </c>
      <c r="M153" s="1" t="s">
        <v>14</v>
      </c>
      <c r="N153">
        <v>297</v>
      </c>
      <c r="O153">
        <v>33.429966</v>
      </c>
    </row>
    <row r="154" spans="11:15" x14ac:dyDescent="0.35">
      <c r="K154">
        <v>2024</v>
      </c>
      <c r="L154">
        <v>2</v>
      </c>
      <c r="M154" s="1" t="s">
        <v>15</v>
      </c>
      <c r="N154">
        <v>248</v>
      </c>
      <c r="O154">
        <v>33.557822999999999</v>
      </c>
    </row>
    <row r="155" spans="11:15" x14ac:dyDescent="0.35">
      <c r="K155">
        <v>2024</v>
      </c>
      <c r="L155">
        <v>2</v>
      </c>
      <c r="M155" s="1" t="s">
        <v>16</v>
      </c>
      <c r="N155">
        <v>313</v>
      </c>
      <c r="O155">
        <v>30.745335000000001</v>
      </c>
    </row>
    <row r="156" spans="11:15" x14ac:dyDescent="0.35">
      <c r="K156">
        <v>2024</v>
      </c>
      <c r="L156">
        <v>2</v>
      </c>
      <c r="M156" s="1" t="s">
        <v>17</v>
      </c>
      <c r="N156">
        <v>325</v>
      </c>
      <c r="O156">
        <v>10.120615000000001</v>
      </c>
    </row>
    <row r="157" spans="11:15" x14ac:dyDescent="0.35">
      <c r="K157">
        <v>2024</v>
      </c>
      <c r="L157">
        <v>2</v>
      </c>
      <c r="M157" s="1" t="s">
        <v>18</v>
      </c>
      <c r="N157">
        <v>299</v>
      </c>
      <c r="O157">
        <v>459.98013400000002</v>
      </c>
    </row>
    <row r="158" spans="11:15" x14ac:dyDescent="0.35">
      <c r="K158">
        <v>2024</v>
      </c>
      <c r="L158">
        <v>2</v>
      </c>
      <c r="M158" s="1" t="s">
        <v>19</v>
      </c>
      <c r="N158">
        <v>189</v>
      </c>
      <c r="O158">
        <v>170.339471</v>
      </c>
    </row>
    <row r="159" spans="11:15" x14ac:dyDescent="0.35">
      <c r="K159">
        <v>2024</v>
      </c>
      <c r="L159">
        <v>3</v>
      </c>
      <c r="M159" s="1" t="s">
        <v>14</v>
      </c>
      <c r="N159">
        <v>339</v>
      </c>
      <c r="O159">
        <v>32.293894000000002</v>
      </c>
    </row>
    <row r="160" spans="11:15" x14ac:dyDescent="0.35">
      <c r="K160">
        <v>2024</v>
      </c>
      <c r="L160">
        <v>3</v>
      </c>
      <c r="M160" s="1" t="s">
        <v>15</v>
      </c>
      <c r="N160">
        <v>281</v>
      </c>
      <c r="O160">
        <v>30.422419999999999</v>
      </c>
    </row>
    <row r="161" spans="11:15" x14ac:dyDescent="0.35">
      <c r="K161">
        <v>2024</v>
      </c>
      <c r="L161">
        <v>3</v>
      </c>
      <c r="M161" s="1" t="s">
        <v>16</v>
      </c>
      <c r="N161">
        <v>337</v>
      </c>
      <c r="O161">
        <v>31.845341000000001</v>
      </c>
    </row>
    <row r="162" spans="11:15" x14ac:dyDescent="0.35">
      <c r="K162">
        <v>2024</v>
      </c>
      <c r="L162">
        <v>3</v>
      </c>
      <c r="M162" s="1" t="s">
        <v>17</v>
      </c>
      <c r="N162">
        <v>358</v>
      </c>
      <c r="O162">
        <v>10.240531000000001</v>
      </c>
    </row>
    <row r="163" spans="11:15" x14ac:dyDescent="0.35">
      <c r="K163">
        <v>2024</v>
      </c>
      <c r="L163">
        <v>3</v>
      </c>
      <c r="M163" s="1" t="s">
        <v>18</v>
      </c>
      <c r="N163">
        <v>393</v>
      </c>
      <c r="O163">
        <v>491.36020400000001</v>
      </c>
    </row>
    <row r="164" spans="11:15" x14ac:dyDescent="0.35">
      <c r="K164">
        <v>2024</v>
      </c>
      <c r="L164">
        <v>3</v>
      </c>
      <c r="M164" s="1" t="s">
        <v>19</v>
      </c>
      <c r="N164">
        <v>215</v>
      </c>
      <c r="O164">
        <v>170.54</v>
      </c>
    </row>
    <row r="165" spans="11:15" x14ac:dyDescent="0.35">
      <c r="K165">
        <v>2024</v>
      </c>
      <c r="L165">
        <v>4</v>
      </c>
      <c r="M165" s="1" t="s">
        <v>14</v>
      </c>
      <c r="N165">
        <v>312</v>
      </c>
      <c r="O165">
        <v>30.400385</v>
      </c>
    </row>
    <row r="166" spans="11:15" x14ac:dyDescent="0.35">
      <c r="K166">
        <v>2024</v>
      </c>
      <c r="L166">
        <v>4</v>
      </c>
      <c r="M166" s="1" t="s">
        <v>15</v>
      </c>
      <c r="N166">
        <v>276</v>
      </c>
      <c r="O166">
        <v>33.429927999999997</v>
      </c>
    </row>
    <row r="167" spans="11:15" x14ac:dyDescent="0.35">
      <c r="K167">
        <v>2024</v>
      </c>
      <c r="L167">
        <v>4</v>
      </c>
      <c r="M167" s="1" t="s">
        <v>16</v>
      </c>
      <c r="N167">
        <v>275</v>
      </c>
      <c r="O167">
        <v>32.127273000000002</v>
      </c>
    </row>
    <row r="168" spans="11:15" x14ac:dyDescent="0.35">
      <c r="K168">
        <v>2024</v>
      </c>
      <c r="L168">
        <v>4</v>
      </c>
      <c r="M168" s="1" t="s">
        <v>17</v>
      </c>
      <c r="N168">
        <v>325</v>
      </c>
      <c r="O168">
        <v>10.178369</v>
      </c>
    </row>
    <row r="169" spans="11:15" x14ac:dyDescent="0.35">
      <c r="K169">
        <v>2024</v>
      </c>
      <c r="L169">
        <v>4</v>
      </c>
      <c r="M169" s="1" t="s">
        <v>18</v>
      </c>
      <c r="N169">
        <v>337</v>
      </c>
      <c r="O169">
        <v>483.383531</v>
      </c>
    </row>
    <row r="170" spans="11:15" x14ac:dyDescent="0.35">
      <c r="K170">
        <v>2024</v>
      </c>
      <c r="L170">
        <v>4</v>
      </c>
      <c r="M170" s="1" t="s">
        <v>19</v>
      </c>
      <c r="N170">
        <v>195</v>
      </c>
      <c r="O170">
        <v>165.15938499999999</v>
      </c>
    </row>
    <row r="171" spans="11:15" x14ac:dyDescent="0.35">
      <c r="K171">
        <v>2024</v>
      </c>
      <c r="L171">
        <v>5</v>
      </c>
      <c r="M171" s="1" t="s">
        <v>14</v>
      </c>
      <c r="N171">
        <v>306</v>
      </c>
      <c r="O171">
        <v>31.381536000000001</v>
      </c>
    </row>
    <row r="172" spans="11:15" x14ac:dyDescent="0.35">
      <c r="K172">
        <v>2024</v>
      </c>
      <c r="L172">
        <v>5</v>
      </c>
      <c r="M172" s="1" t="s">
        <v>15</v>
      </c>
      <c r="N172">
        <v>269</v>
      </c>
      <c r="O172">
        <v>32.415799</v>
      </c>
    </row>
    <row r="173" spans="11:15" x14ac:dyDescent="0.35">
      <c r="K173">
        <v>2024</v>
      </c>
      <c r="L173">
        <v>5</v>
      </c>
      <c r="M173" s="1" t="s">
        <v>16</v>
      </c>
      <c r="N173">
        <v>315</v>
      </c>
      <c r="O173">
        <v>31.705905000000001</v>
      </c>
    </row>
    <row r="174" spans="11:15" x14ac:dyDescent="0.35">
      <c r="K174">
        <v>2024</v>
      </c>
      <c r="L174">
        <v>5</v>
      </c>
      <c r="M174" s="1" t="s">
        <v>17</v>
      </c>
      <c r="N174">
        <v>336</v>
      </c>
      <c r="O174">
        <v>9.9766670000000008</v>
      </c>
    </row>
    <row r="175" spans="11:15" x14ac:dyDescent="0.35">
      <c r="K175">
        <v>2024</v>
      </c>
      <c r="L175">
        <v>5</v>
      </c>
      <c r="M175" s="1" t="s">
        <v>18</v>
      </c>
      <c r="N175">
        <v>344</v>
      </c>
      <c r="O175">
        <v>506.74947700000001</v>
      </c>
    </row>
    <row r="176" spans="11:15" x14ac:dyDescent="0.35">
      <c r="K176">
        <v>2024</v>
      </c>
      <c r="L176">
        <v>5</v>
      </c>
      <c r="M176" s="1" t="s">
        <v>19</v>
      </c>
      <c r="N176">
        <v>249</v>
      </c>
      <c r="O176">
        <v>172.35959800000001</v>
      </c>
    </row>
    <row r="177" spans="11:15" x14ac:dyDescent="0.35">
      <c r="K177">
        <v>2024</v>
      </c>
      <c r="L177">
        <v>6</v>
      </c>
      <c r="M177" s="1" t="s">
        <v>14</v>
      </c>
      <c r="N177">
        <v>308</v>
      </c>
      <c r="O177">
        <v>32.790519000000003</v>
      </c>
    </row>
    <row r="178" spans="11:15" x14ac:dyDescent="0.35">
      <c r="K178">
        <v>2024</v>
      </c>
      <c r="L178">
        <v>6</v>
      </c>
      <c r="M178" s="1" t="s">
        <v>15</v>
      </c>
      <c r="N178">
        <v>246</v>
      </c>
      <c r="O178">
        <v>29.833171</v>
      </c>
    </row>
    <row r="179" spans="11:15" x14ac:dyDescent="0.35">
      <c r="K179">
        <v>2024</v>
      </c>
      <c r="L179">
        <v>6</v>
      </c>
      <c r="M179" s="1" t="s">
        <v>16</v>
      </c>
      <c r="N179">
        <v>279</v>
      </c>
      <c r="O179">
        <v>31.758351000000001</v>
      </c>
    </row>
    <row r="180" spans="11:15" x14ac:dyDescent="0.35">
      <c r="K180">
        <v>2024</v>
      </c>
      <c r="L180">
        <v>6</v>
      </c>
      <c r="M180" s="1" t="s">
        <v>17</v>
      </c>
      <c r="N180">
        <v>292</v>
      </c>
      <c r="O180">
        <v>10.653973000000001</v>
      </c>
    </row>
    <row r="181" spans="11:15" x14ac:dyDescent="0.35">
      <c r="K181">
        <v>2024</v>
      </c>
      <c r="L181">
        <v>6</v>
      </c>
      <c r="M181" s="1" t="s">
        <v>18</v>
      </c>
      <c r="N181">
        <v>326</v>
      </c>
      <c r="O181">
        <v>419.41453999999999</v>
      </c>
    </row>
    <row r="182" spans="11:15" x14ac:dyDescent="0.35">
      <c r="K182">
        <v>2024</v>
      </c>
      <c r="L182">
        <v>6</v>
      </c>
      <c r="M182" s="1" t="s">
        <v>19</v>
      </c>
      <c r="N182">
        <v>269</v>
      </c>
      <c r="O182">
        <v>175.56754599999999</v>
      </c>
    </row>
    <row r="183" spans="11:15" x14ac:dyDescent="0.35">
      <c r="K183">
        <v>2024</v>
      </c>
      <c r="L183">
        <v>7</v>
      </c>
      <c r="M183" s="1" t="s">
        <v>14</v>
      </c>
      <c r="N183">
        <v>299</v>
      </c>
      <c r="O183">
        <v>34.006722000000003</v>
      </c>
    </row>
    <row r="184" spans="11:15" x14ac:dyDescent="0.35">
      <c r="K184">
        <v>2024</v>
      </c>
      <c r="L184">
        <v>7</v>
      </c>
      <c r="M184" s="1" t="s">
        <v>15</v>
      </c>
      <c r="N184">
        <v>273</v>
      </c>
      <c r="O184">
        <v>30.897949000000001</v>
      </c>
    </row>
    <row r="185" spans="11:15" x14ac:dyDescent="0.35">
      <c r="K185">
        <v>2024</v>
      </c>
      <c r="L185">
        <v>7</v>
      </c>
      <c r="M185" s="1" t="s">
        <v>16</v>
      </c>
      <c r="N185">
        <v>333</v>
      </c>
      <c r="O185">
        <v>33.141652000000001</v>
      </c>
    </row>
    <row r="186" spans="11:15" x14ac:dyDescent="0.35">
      <c r="K186">
        <v>2024</v>
      </c>
      <c r="L186">
        <v>7</v>
      </c>
      <c r="M186" s="1" t="s">
        <v>17</v>
      </c>
      <c r="N186">
        <v>324</v>
      </c>
      <c r="O186">
        <v>10.23892</v>
      </c>
    </row>
    <row r="187" spans="11:15" x14ac:dyDescent="0.35">
      <c r="K187">
        <v>2024</v>
      </c>
      <c r="L187">
        <v>7</v>
      </c>
      <c r="M187" s="1" t="s">
        <v>18</v>
      </c>
      <c r="N187">
        <v>325</v>
      </c>
      <c r="O187">
        <v>462.04138499999999</v>
      </c>
    </row>
    <row r="188" spans="11:15" x14ac:dyDescent="0.35">
      <c r="K188">
        <v>2024</v>
      </c>
      <c r="L188">
        <v>7</v>
      </c>
      <c r="M188" s="1" t="s">
        <v>19</v>
      </c>
      <c r="N188">
        <v>283</v>
      </c>
      <c r="O188">
        <v>177.16109499999999</v>
      </c>
    </row>
    <row r="189" spans="11:15" x14ac:dyDescent="0.35">
      <c r="K189">
        <v>2024</v>
      </c>
      <c r="L189">
        <v>8</v>
      </c>
      <c r="M189" s="1" t="s">
        <v>14</v>
      </c>
      <c r="N189">
        <v>289</v>
      </c>
      <c r="O189">
        <v>33.111902999999998</v>
      </c>
    </row>
    <row r="190" spans="11:15" x14ac:dyDescent="0.35">
      <c r="K190">
        <v>2024</v>
      </c>
      <c r="L190">
        <v>8</v>
      </c>
      <c r="M190" s="1" t="s">
        <v>15</v>
      </c>
      <c r="N190">
        <v>239</v>
      </c>
      <c r="O190">
        <v>31.383305</v>
      </c>
    </row>
    <row r="191" spans="11:15" x14ac:dyDescent="0.35">
      <c r="K191">
        <v>2024</v>
      </c>
      <c r="L191">
        <v>8</v>
      </c>
      <c r="M191" s="1" t="s">
        <v>16</v>
      </c>
      <c r="N191">
        <v>306</v>
      </c>
      <c r="O191">
        <v>32.400162999999999</v>
      </c>
    </row>
    <row r="192" spans="11:15" x14ac:dyDescent="0.35">
      <c r="K192">
        <v>2024</v>
      </c>
      <c r="L192">
        <v>8</v>
      </c>
      <c r="M192" s="1" t="s">
        <v>17</v>
      </c>
      <c r="N192">
        <v>316</v>
      </c>
      <c r="O192">
        <v>10.688133000000001</v>
      </c>
    </row>
    <row r="193" spans="11:15" x14ac:dyDescent="0.35">
      <c r="K193">
        <v>2024</v>
      </c>
      <c r="L193">
        <v>8</v>
      </c>
      <c r="M193" s="1" t="s">
        <v>18</v>
      </c>
      <c r="N193">
        <v>346</v>
      </c>
      <c r="O193">
        <v>447.79887300000001</v>
      </c>
    </row>
    <row r="194" spans="11:15" x14ac:dyDescent="0.35">
      <c r="K194">
        <v>2024</v>
      </c>
      <c r="L194">
        <v>8</v>
      </c>
      <c r="M194" s="1" t="s">
        <v>19</v>
      </c>
      <c r="N194">
        <v>291</v>
      </c>
      <c r="O194">
        <v>170.32133999999999</v>
      </c>
    </row>
    <row r="195" spans="11:15" x14ac:dyDescent="0.35">
      <c r="K195">
        <v>2024</v>
      </c>
      <c r="L195">
        <v>9</v>
      </c>
      <c r="M195" s="1" t="s">
        <v>14</v>
      </c>
      <c r="N195">
        <v>311</v>
      </c>
      <c r="O195">
        <v>31.066013000000002</v>
      </c>
    </row>
    <row r="196" spans="11:15" x14ac:dyDescent="0.35">
      <c r="K196">
        <v>2024</v>
      </c>
      <c r="L196">
        <v>9</v>
      </c>
      <c r="M196" s="1" t="s">
        <v>15</v>
      </c>
      <c r="N196">
        <v>253</v>
      </c>
      <c r="O196">
        <v>29.357351999999999</v>
      </c>
    </row>
    <row r="197" spans="11:15" x14ac:dyDescent="0.35">
      <c r="K197">
        <v>2024</v>
      </c>
      <c r="L197">
        <v>9</v>
      </c>
      <c r="M197" s="1" t="s">
        <v>16</v>
      </c>
      <c r="N197">
        <v>287</v>
      </c>
      <c r="O197">
        <v>29.593240000000002</v>
      </c>
    </row>
    <row r="198" spans="11:15" x14ac:dyDescent="0.35">
      <c r="K198">
        <v>2024</v>
      </c>
      <c r="L198">
        <v>9</v>
      </c>
      <c r="M198" s="1" t="s">
        <v>17</v>
      </c>
      <c r="N198">
        <v>317</v>
      </c>
      <c r="O198">
        <v>10.348706999999999</v>
      </c>
    </row>
    <row r="199" spans="11:15" x14ac:dyDescent="0.35">
      <c r="K199">
        <v>2024</v>
      </c>
      <c r="L199">
        <v>9</v>
      </c>
      <c r="M199" s="1" t="s">
        <v>18</v>
      </c>
      <c r="N199">
        <v>352</v>
      </c>
      <c r="O199">
        <v>457.94440300000002</v>
      </c>
    </row>
    <row r="200" spans="11:15" x14ac:dyDescent="0.35">
      <c r="K200">
        <v>2024</v>
      </c>
      <c r="L200">
        <v>9</v>
      </c>
      <c r="M200" s="1" t="s">
        <v>19</v>
      </c>
      <c r="N200">
        <v>293</v>
      </c>
      <c r="O200">
        <v>173.415222</v>
      </c>
    </row>
    <row r="201" spans="11:15" x14ac:dyDescent="0.35">
      <c r="K201">
        <v>2024</v>
      </c>
      <c r="L201">
        <v>10</v>
      </c>
      <c r="M201" s="1" t="s">
        <v>14</v>
      </c>
      <c r="N201">
        <v>293</v>
      </c>
      <c r="O201">
        <v>32.902183999999998</v>
      </c>
    </row>
    <row r="202" spans="11:15" x14ac:dyDescent="0.35">
      <c r="K202">
        <v>2024</v>
      </c>
      <c r="L202">
        <v>10</v>
      </c>
      <c r="M202" s="1" t="s">
        <v>15</v>
      </c>
      <c r="N202">
        <v>267</v>
      </c>
      <c r="O202">
        <v>29.420375</v>
      </c>
    </row>
    <row r="203" spans="11:15" x14ac:dyDescent="0.35">
      <c r="K203">
        <v>2024</v>
      </c>
      <c r="L203">
        <v>10</v>
      </c>
      <c r="M203" s="1" t="s">
        <v>16</v>
      </c>
      <c r="N203">
        <v>282</v>
      </c>
      <c r="O203">
        <v>31.824999999999999</v>
      </c>
    </row>
    <row r="204" spans="11:15" x14ac:dyDescent="0.35">
      <c r="K204">
        <v>2024</v>
      </c>
      <c r="L204">
        <v>10</v>
      </c>
      <c r="M204" s="1" t="s">
        <v>17</v>
      </c>
      <c r="N204">
        <v>303</v>
      </c>
      <c r="O204">
        <v>10.729241</v>
      </c>
    </row>
    <row r="205" spans="11:15" x14ac:dyDescent="0.35">
      <c r="K205">
        <v>2024</v>
      </c>
      <c r="L205">
        <v>10</v>
      </c>
      <c r="M205" s="1" t="s">
        <v>18</v>
      </c>
      <c r="N205">
        <v>378</v>
      </c>
      <c r="O205">
        <v>438.29425900000001</v>
      </c>
    </row>
    <row r="206" spans="11:15" x14ac:dyDescent="0.35">
      <c r="K206">
        <v>2024</v>
      </c>
      <c r="L206">
        <v>10</v>
      </c>
      <c r="M206" s="1" t="s">
        <v>19</v>
      </c>
      <c r="N206">
        <v>310</v>
      </c>
      <c r="O206">
        <v>167.93609699999999</v>
      </c>
    </row>
    <row r="207" spans="11:15" x14ac:dyDescent="0.35">
      <c r="K207">
        <v>2024</v>
      </c>
      <c r="L207">
        <v>11</v>
      </c>
      <c r="M207" s="1" t="s">
        <v>14</v>
      </c>
      <c r="N207">
        <v>283</v>
      </c>
      <c r="O207">
        <v>31.632543999999999</v>
      </c>
    </row>
    <row r="208" spans="11:15" x14ac:dyDescent="0.35">
      <c r="K208">
        <v>2024</v>
      </c>
      <c r="L208">
        <v>11</v>
      </c>
      <c r="M208" s="1" t="s">
        <v>15</v>
      </c>
      <c r="N208">
        <v>276</v>
      </c>
      <c r="O208">
        <v>33.154746000000003</v>
      </c>
    </row>
    <row r="209" spans="11:15" x14ac:dyDescent="0.35">
      <c r="K209">
        <v>2024</v>
      </c>
      <c r="L209">
        <v>11</v>
      </c>
      <c r="M209" s="1" t="s">
        <v>16</v>
      </c>
      <c r="N209">
        <v>273</v>
      </c>
      <c r="O209">
        <v>32.325164999999998</v>
      </c>
    </row>
    <row r="210" spans="11:15" x14ac:dyDescent="0.35">
      <c r="K210">
        <v>2024</v>
      </c>
      <c r="L210">
        <v>11</v>
      </c>
      <c r="M210" s="1" t="s">
        <v>17</v>
      </c>
      <c r="N210">
        <v>314</v>
      </c>
      <c r="O210">
        <v>11.04379</v>
      </c>
    </row>
    <row r="211" spans="11:15" x14ac:dyDescent="0.35">
      <c r="K211">
        <v>2024</v>
      </c>
      <c r="L211">
        <v>11</v>
      </c>
      <c r="M211" s="1" t="s">
        <v>18</v>
      </c>
      <c r="N211">
        <v>343</v>
      </c>
      <c r="O211">
        <v>440.76434399999999</v>
      </c>
    </row>
    <row r="212" spans="11:15" x14ac:dyDescent="0.35">
      <c r="K212">
        <v>2024</v>
      </c>
      <c r="L212">
        <v>11</v>
      </c>
      <c r="M212" s="1" t="s">
        <v>19</v>
      </c>
      <c r="N212">
        <v>291</v>
      </c>
      <c r="O212">
        <v>168.464708</v>
      </c>
    </row>
    <row r="213" spans="11:15" x14ac:dyDescent="0.35">
      <c r="K213">
        <v>2024</v>
      </c>
      <c r="L213">
        <v>12</v>
      </c>
      <c r="M213" s="1" t="s">
        <v>14</v>
      </c>
      <c r="N213">
        <v>354</v>
      </c>
      <c r="O213">
        <v>33.889944</v>
      </c>
    </row>
    <row r="214" spans="11:15" x14ac:dyDescent="0.35">
      <c r="K214">
        <v>2024</v>
      </c>
      <c r="L214">
        <v>12</v>
      </c>
      <c r="M214" s="1" t="s">
        <v>15</v>
      </c>
      <c r="N214">
        <v>270</v>
      </c>
      <c r="O214">
        <v>33.073222000000001</v>
      </c>
    </row>
    <row r="215" spans="11:15" x14ac:dyDescent="0.35">
      <c r="K215">
        <v>2024</v>
      </c>
      <c r="L215">
        <v>12</v>
      </c>
      <c r="M215" s="1" t="s">
        <v>16</v>
      </c>
      <c r="N215">
        <v>317</v>
      </c>
      <c r="O215">
        <v>37.586215000000003</v>
      </c>
    </row>
    <row r="216" spans="11:15" x14ac:dyDescent="0.35">
      <c r="K216">
        <v>2024</v>
      </c>
      <c r="L216">
        <v>12</v>
      </c>
      <c r="M216" s="1" t="s">
        <v>17</v>
      </c>
      <c r="N216">
        <v>328</v>
      </c>
      <c r="O216">
        <v>10.543811</v>
      </c>
    </row>
    <row r="217" spans="11:15" x14ac:dyDescent="0.35">
      <c r="K217">
        <v>2024</v>
      </c>
      <c r="L217">
        <v>12</v>
      </c>
      <c r="M217" s="1" t="s">
        <v>18</v>
      </c>
      <c r="N217">
        <v>382</v>
      </c>
      <c r="O217">
        <v>462.33073300000001</v>
      </c>
    </row>
    <row r="218" spans="11:15" x14ac:dyDescent="0.35">
      <c r="K218">
        <v>2024</v>
      </c>
      <c r="L218">
        <v>12</v>
      </c>
      <c r="M218" s="1" t="s">
        <v>19</v>
      </c>
      <c r="N218">
        <v>203</v>
      </c>
      <c r="O218">
        <v>168.952956</v>
      </c>
    </row>
    <row r="219" spans="11:15" x14ac:dyDescent="0.35">
      <c r="K219">
        <v>2025</v>
      </c>
      <c r="L219">
        <v>1</v>
      </c>
      <c r="M219" s="1" t="s">
        <v>14</v>
      </c>
      <c r="N219">
        <v>475</v>
      </c>
      <c r="O219">
        <v>33.746062999999999</v>
      </c>
    </row>
    <row r="220" spans="11:15" x14ac:dyDescent="0.35">
      <c r="K220">
        <v>2025</v>
      </c>
      <c r="L220">
        <v>1</v>
      </c>
      <c r="M220" s="1" t="s">
        <v>15</v>
      </c>
      <c r="N220">
        <v>408</v>
      </c>
      <c r="O220">
        <v>34.943407000000001</v>
      </c>
    </row>
    <row r="221" spans="11:15" x14ac:dyDescent="0.35">
      <c r="K221">
        <v>2025</v>
      </c>
      <c r="L221">
        <v>1</v>
      </c>
      <c r="M221" s="1" t="s">
        <v>16</v>
      </c>
      <c r="N221">
        <v>460</v>
      </c>
      <c r="O221">
        <v>33.595370000000003</v>
      </c>
    </row>
    <row r="222" spans="11:15" x14ac:dyDescent="0.35">
      <c r="K222">
        <v>2025</v>
      </c>
      <c r="L222">
        <v>1</v>
      </c>
      <c r="M222" s="1" t="s">
        <v>17</v>
      </c>
      <c r="N222">
        <v>566</v>
      </c>
      <c r="O222">
        <v>10.276113</v>
      </c>
    </row>
    <row r="223" spans="11:15" x14ac:dyDescent="0.35">
      <c r="K223">
        <v>2025</v>
      </c>
      <c r="L223">
        <v>1</v>
      </c>
      <c r="M223" s="1" t="s">
        <v>18</v>
      </c>
      <c r="N223">
        <v>416</v>
      </c>
      <c r="O223">
        <v>500.49189899999999</v>
      </c>
    </row>
    <row r="224" spans="11:15" x14ac:dyDescent="0.35">
      <c r="K224">
        <v>2025</v>
      </c>
      <c r="L224">
        <v>1</v>
      </c>
      <c r="M224" s="1" t="s">
        <v>19</v>
      </c>
      <c r="N224">
        <v>106</v>
      </c>
      <c r="O224">
        <v>170.883679</v>
      </c>
    </row>
    <row r="225" spans="11:15" x14ac:dyDescent="0.35">
      <c r="K225">
        <v>2025</v>
      </c>
      <c r="L225">
        <v>2</v>
      </c>
      <c r="M225" s="1" t="s">
        <v>14</v>
      </c>
      <c r="N225">
        <v>430</v>
      </c>
      <c r="O225">
        <v>34.746535000000002</v>
      </c>
    </row>
    <row r="226" spans="11:15" x14ac:dyDescent="0.35">
      <c r="K226">
        <v>2025</v>
      </c>
      <c r="L226">
        <v>2</v>
      </c>
      <c r="M226" s="1" t="s">
        <v>15</v>
      </c>
      <c r="N226">
        <v>366</v>
      </c>
      <c r="O226">
        <v>30.421913</v>
      </c>
    </row>
    <row r="227" spans="11:15" x14ac:dyDescent="0.35">
      <c r="K227">
        <v>2025</v>
      </c>
      <c r="L227">
        <v>2</v>
      </c>
      <c r="M227" s="1" t="s">
        <v>16</v>
      </c>
      <c r="N227">
        <v>410</v>
      </c>
      <c r="O227">
        <v>33.599049000000001</v>
      </c>
    </row>
    <row r="228" spans="11:15" x14ac:dyDescent="0.35">
      <c r="K228">
        <v>2025</v>
      </c>
      <c r="L228">
        <v>2</v>
      </c>
      <c r="M228" s="1" t="s">
        <v>17</v>
      </c>
      <c r="N228">
        <v>443</v>
      </c>
      <c r="O228">
        <v>10.146974999999999</v>
      </c>
    </row>
    <row r="229" spans="11:15" x14ac:dyDescent="0.35">
      <c r="K229">
        <v>2025</v>
      </c>
      <c r="L229">
        <v>2</v>
      </c>
      <c r="M229" s="1" t="s">
        <v>18</v>
      </c>
      <c r="N229">
        <v>380</v>
      </c>
      <c r="O229">
        <v>524.80544699999996</v>
      </c>
    </row>
    <row r="230" spans="11:15" x14ac:dyDescent="0.35">
      <c r="K230">
        <v>2025</v>
      </c>
      <c r="L230">
        <v>2</v>
      </c>
      <c r="M230" s="1" t="s">
        <v>19</v>
      </c>
      <c r="N230">
        <v>113</v>
      </c>
      <c r="O230">
        <v>164.12973500000001</v>
      </c>
    </row>
    <row r="231" spans="11:15" x14ac:dyDescent="0.35">
      <c r="K231">
        <v>2025</v>
      </c>
      <c r="L231">
        <v>3</v>
      </c>
      <c r="M231" s="1" t="s">
        <v>14</v>
      </c>
      <c r="N231">
        <v>424</v>
      </c>
      <c r="O231">
        <v>33.087099000000002</v>
      </c>
    </row>
    <row r="232" spans="11:15" x14ac:dyDescent="0.35">
      <c r="K232">
        <v>2025</v>
      </c>
      <c r="L232">
        <v>3</v>
      </c>
      <c r="M232" s="1" t="s">
        <v>15</v>
      </c>
      <c r="N232">
        <v>369</v>
      </c>
      <c r="O232">
        <v>37.830840000000002</v>
      </c>
    </row>
    <row r="233" spans="11:15" x14ac:dyDescent="0.35">
      <c r="K233">
        <v>2025</v>
      </c>
      <c r="L233">
        <v>3</v>
      </c>
      <c r="M233" s="1" t="s">
        <v>16</v>
      </c>
      <c r="N233">
        <v>451</v>
      </c>
      <c r="O233">
        <v>35.426119999999997</v>
      </c>
    </row>
    <row r="234" spans="11:15" x14ac:dyDescent="0.35">
      <c r="K234">
        <v>2025</v>
      </c>
      <c r="L234">
        <v>3</v>
      </c>
      <c r="M234" s="1" t="s">
        <v>17</v>
      </c>
      <c r="N234">
        <v>477</v>
      </c>
      <c r="O234">
        <v>10.711174</v>
      </c>
    </row>
    <row r="235" spans="11:15" x14ac:dyDescent="0.35">
      <c r="K235">
        <v>2025</v>
      </c>
      <c r="L235">
        <v>3</v>
      </c>
      <c r="M235" s="1" t="s">
        <v>18</v>
      </c>
      <c r="N235">
        <v>439</v>
      </c>
      <c r="O235">
        <v>485.46635500000002</v>
      </c>
    </row>
    <row r="236" spans="11:15" x14ac:dyDescent="0.35">
      <c r="K236">
        <v>2025</v>
      </c>
      <c r="L236">
        <v>3</v>
      </c>
      <c r="M236" s="1" t="s">
        <v>19</v>
      </c>
      <c r="N236">
        <v>179</v>
      </c>
      <c r="O236">
        <v>176.13514000000001</v>
      </c>
    </row>
    <row r="237" spans="11:15" x14ac:dyDescent="0.35">
      <c r="K237">
        <v>2025</v>
      </c>
      <c r="L237">
        <v>4</v>
      </c>
      <c r="M237" s="1" t="s">
        <v>14</v>
      </c>
      <c r="N237">
        <v>483</v>
      </c>
      <c r="O237">
        <v>30.859213</v>
      </c>
    </row>
    <row r="238" spans="11:15" x14ac:dyDescent="0.35">
      <c r="K238">
        <v>2025</v>
      </c>
      <c r="L238">
        <v>4</v>
      </c>
      <c r="M238" s="1" t="s">
        <v>15</v>
      </c>
      <c r="N238">
        <v>390</v>
      </c>
      <c r="O238">
        <v>35.594127999999998</v>
      </c>
    </row>
    <row r="239" spans="11:15" x14ac:dyDescent="0.35">
      <c r="K239">
        <v>2025</v>
      </c>
      <c r="L239">
        <v>4</v>
      </c>
      <c r="M239" s="1" t="s">
        <v>16</v>
      </c>
      <c r="N239">
        <v>415</v>
      </c>
      <c r="O239">
        <v>33.338433999999999</v>
      </c>
    </row>
    <row r="240" spans="11:15" x14ac:dyDescent="0.35">
      <c r="K240">
        <v>2025</v>
      </c>
      <c r="L240">
        <v>4</v>
      </c>
      <c r="M240" s="1" t="s">
        <v>17</v>
      </c>
      <c r="N240">
        <v>583</v>
      </c>
      <c r="O240">
        <v>10.783345000000001</v>
      </c>
    </row>
    <row r="241" spans="11:15" x14ac:dyDescent="0.35">
      <c r="K241">
        <v>2025</v>
      </c>
      <c r="L241">
        <v>4</v>
      </c>
      <c r="M241" s="1" t="s">
        <v>18</v>
      </c>
      <c r="N241">
        <v>254</v>
      </c>
      <c r="O241">
        <v>456.42330700000002</v>
      </c>
    </row>
    <row r="242" spans="11:15" x14ac:dyDescent="0.35">
      <c r="K242">
        <v>2025</v>
      </c>
      <c r="L242">
        <v>4</v>
      </c>
      <c r="M242" s="1" t="s">
        <v>19</v>
      </c>
      <c r="N242">
        <v>236</v>
      </c>
      <c r="O242">
        <v>178.56889799999999</v>
      </c>
    </row>
    <row r="243" spans="11:15" x14ac:dyDescent="0.35">
      <c r="K243">
        <v>2025</v>
      </c>
      <c r="L243">
        <v>5</v>
      </c>
      <c r="M243" s="1" t="s">
        <v>14</v>
      </c>
      <c r="N243">
        <v>479</v>
      </c>
      <c r="O243">
        <v>31.474447000000001</v>
      </c>
    </row>
    <row r="244" spans="11:15" x14ac:dyDescent="0.35">
      <c r="K244">
        <v>2025</v>
      </c>
      <c r="L244">
        <v>5</v>
      </c>
      <c r="M244" s="1" t="s">
        <v>15</v>
      </c>
      <c r="N244">
        <v>392</v>
      </c>
      <c r="O244">
        <v>35.418571</v>
      </c>
    </row>
    <row r="245" spans="11:15" x14ac:dyDescent="0.35">
      <c r="K245">
        <v>2025</v>
      </c>
      <c r="L245">
        <v>5</v>
      </c>
      <c r="M245" s="1" t="s">
        <v>16</v>
      </c>
      <c r="N245">
        <v>456</v>
      </c>
      <c r="O245">
        <v>31.232389999999999</v>
      </c>
    </row>
    <row r="246" spans="11:15" x14ac:dyDescent="0.35">
      <c r="K246">
        <v>2025</v>
      </c>
      <c r="L246">
        <v>5</v>
      </c>
      <c r="M246" s="1" t="s">
        <v>17</v>
      </c>
      <c r="N246">
        <v>542</v>
      </c>
      <c r="O246">
        <v>10.313689999999999</v>
      </c>
    </row>
    <row r="247" spans="11:15" x14ac:dyDescent="0.35">
      <c r="K247">
        <v>2025</v>
      </c>
      <c r="L247">
        <v>5</v>
      </c>
      <c r="M247" s="1" t="s">
        <v>18</v>
      </c>
      <c r="N247">
        <v>267</v>
      </c>
      <c r="O247">
        <v>523.384457</v>
      </c>
    </row>
    <row r="248" spans="11:15" x14ac:dyDescent="0.35">
      <c r="K248">
        <v>2025</v>
      </c>
      <c r="L248">
        <v>5</v>
      </c>
      <c r="M248" s="1" t="s">
        <v>19</v>
      </c>
      <c r="N248">
        <v>217</v>
      </c>
      <c r="O248">
        <v>171.606866</v>
      </c>
    </row>
    <row r="249" spans="11:15" x14ac:dyDescent="0.35">
      <c r="K249">
        <v>2025</v>
      </c>
      <c r="L249">
        <v>6</v>
      </c>
      <c r="M249" s="1" t="s">
        <v>14</v>
      </c>
      <c r="N249">
        <v>475</v>
      </c>
      <c r="O249">
        <v>32.156568</v>
      </c>
    </row>
    <row r="250" spans="11:15" x14ac:dyDescent="0.35">
      <c r="K250">
        <v>2025</v>
      </c>
      <c r="L250">
        <v>6</v>
      </c>
      <c r="M250" s="1" t="s">
        <v>15</v>
      </c>
      <c r="N250">
        <v>399</v>
      </c>
      <c r="O250">
        <v>34.116767000000003</v>
      </c>
    </row>
    <row r="251" spans="11:15" x14ac:dyDescent="0.35">
      <c r="K251">
        <v>2025</v>
      </c>
      <c r="L251">
        <v>6</v>
      </c>
      <c r="M251" s="1" t="s">
        <v>16</v>
      </c>
      <c r="N251">
        <v>426</v>
      </c>
      <c r="O251">
        <v>31.787534999999998</v>
      </c>
    </row>
    <row r="252" spans="11:15" x14ac:dyDescent="0.35">
      <c r="K252">
        <v>2025</v>
      </c>
      <c r="L252">
        <v>6</v>
      </c>
      <c r="M252" s="1" t="s">
        <v>17</v>
      </c>
      <c r="N252">
        <v>474</v>
      </c>
      <c r="O252">
        <v>10.261751</v>
      </c>
    </row>
    <row r="253" spans="11:15" x14ac:dyDescent="0.35">
      <c r="K253">
        <v>2025</v>
      </c>
      <c r="L253">
        <v>6</v>
      </c>
      <c r="M253" s="1" t="s">
        <v>18</v>
      </c>
      <c r="N253">
        <v>265</v>
      </c>
      <c r="O253">
        <v>504.60803800000002</v>
      </c>
    </row>
    <row r="254" spans="11:15" x14ac:dyDescent="0.35">
      <c r="K254">
        <v>2025</v>
      </c>
      <c r="L254">
        <v>6</v>
      </c>
      <c r="M254" s="1" t="s">
        <v>19</v>
      </c>
      <c r="N254">
        <v>212</v>
      </c>
      <c r="O254">
        <v>169.669434</v>
      </c>
    </row>
    <row r="255" spans="11:15" x14ac:dyDescent="0.35">
      <c r="K255">
        <v>2025</v>
      </c>
      <c r="L255">
        <v>7</v>
      </c>
      <c r="M255" s="1" t="s">
        <v>14</v>
      </c>
      <c r="N255">
        <v>420</v>
      </c>
      <c r="O255">
        <v>29.940071</v>
      </c>
    </row>
    <row r="256" spans="11:15" x14ac:dyDescent="0.35">
      <c r="K256">
        <v>2025</v>
      </c>
      <c r="L256">
        <v>7</v>
      </c>
      <c r="M256" s="1" t="s">
        <v>15</v>
      </c>
      <c r="N256">
        <v>338</v>
      </c>
      <c r="O256">
        <v>35.989438</v>
      </c>
    </row>
    <row r="257" spans="11:15" x14ac:dyDescent="0.35">
      <c r="K257">
        <v>2025</v>
      </c>
      <c r="L257">
        <v>7</v>
      </c>
      <c r="M257" s="1" t="s">
        <v>16</v>
      </c>
      <c r="N257">
        <v>390</v>
      </c>
      <c r="O257">
        <v>33.489538000000003</v>
      </c>
    </row>
    <row r="258" spans="11:15" x14ac:dyDescent="0.35">
      <c r="K258">
        <v>2025</v>
      </c>
      <c r="L258">
        <v>7</v>
      </c>
      <c r="M258" s="1" t="s">
        <v>17</v>
      </c>
      <c r="N258">
        <v>482</v>
      </c>
      <c r="O258">
        <v>10.527967</v>
      </c>
    </row>
    <row r="259" spans="11:15" x14ac:dyDescent="0.35">
      <c r="K259">
        <v>2025</v>
      </c>
      <c r="L259">
        <v>7</v>
      </c>
      <c r="M259" s="1" t="s">
        <v>18</v>
      </c>
      <c r="N259">
        <v>478</v>
      </c>
      <c r="O259">
        <v>486.27650599999998</v>
      </c>
    </row>
    <row r="260" spans="11:15" x14ac:dyDescent="0.35">
      <c r="K260">
        <v>2025</v>
      </c>
      <c r="L260">
        <v>7</v>
      </c>
      <c r="M260" s="1" t="s">
        <v>19</v>
      </c>
      <c r="N260">
        <v>207</v>
      </c>
      <c r="O260">
        <v>169.14169100000001</v>
      </c>
    </row>
    <row r="261" spans="11:15" x14ac:dyDescent="0.35">
      <c r="K261">
        <v>2025</v>
      </c>
      <c r="L261">
        <v>8</v>
      </c>
      <c r="M261" s="1" t="s">
        <v>14</v>
      </c>
      <c r="N261">
        <v>418</v>
      </c>
      <c r="O261">
        <v>32.714306000000001</v>
      </c>
    </row>
    <row r="262" spans="11:15" x14ac:dyDescent="0.35">
      <c r="K262">
        <v>2025</v>
      </c>
      <c r="L262">
        <v>8</v>
      </c>
      <c r="M262" s="1" t="s">
        <v>15</v>
      </c>
      <c r="N262">
        <v>305</v>
      </c>
      <c r="O262">
        <v>32.983376999999997</v>
      </c>
    </row>
    <row r="263" spans="11:15" x14ac:dyDescent="0.35">
      <c r="K263">
        <v>2025</v>
      </c>
      <c r="L263">
        <v>8</v>
      </c>
      <c r="M263" s="1" t="s">
        <v>16</v>
      </c>
      <c r="N263">
        <v>357</v>
      </c>
      <c r="O263">
        <v>33.864705999999998</v>
      </c>
    </row>
    <row r="264" spans="11:15" x14ac:dyDescent="0.35">
      <c r="K264">
        <v>2025</v>
      </c>
      <c r="L264">
        <v>8</v>
      </c>
      <c r="M264" s="1" t="s">
        <v>17</v>
      </c>
      <c r="N264">
        <v>436</v>
      </c>
      <c r="O264">
        <v>10.790528</v>
      </c>
    </row>
    <row r="265" spans="11:15" x14ac:dyDescent="0.35">
      <c r="K265">
        <v>2025</v>
      </c>
      <c r="L265">
        <v>8</v>
      </c>
      <c r="M265" s="1" t="s">
        <v>18</v>
      </c>
      <c r="N265">
        <v>497</v>
      </c>
      <c r="O265">
        <v>464.52770600000002</v>
      </c>
    </row>
    <row r="266" spans="11:15" x14ac:dyDescent="0.35">
      <c r="K266">
        <v>2025</v>
      </c>
      <c r="L266">
        <v>8</v>
      </c>
      <c r="M266" s="1" t="s">
        <v>19</v>
      </c>
      <c r="N266">
        <v>237</v>
      </c>
      <c r="O266">
        <v>171.097004</v>
      </c>
    </row>
    <row r="267" spans="11:15" x14ac:dyDescent="0.35">
      <c r="K267">
        <v>2025</v>
      </c>
      <c r="L267">
        <v>9</v>
      </c>
      <c r="M267" s="1" t="s">
        <v>14</v>
      </c>
      <c r="N267">
        <v>360</v>
      </c>
      <c r="O267">
        <v>32.177222</v>
      </c>
    </row>
    <row r="268" spans="11:15" x14ac:dyDescent="0.35">
      <c r="K268">
        <v>2025</v>
      </c>
      <c r="L268">
        <v>9</v>
      </c>
      <c r="M268" s="1" t="s">
        <v>15</v>
      </c>
      <c r="N268">
        <v>322</v>
      </c>
      <c r="O268">
        <v>34.220373000000002</v>
      </c>
    </row>
    <row r="269" spans="11:15" x14ac:dyDescent="0.35">
      <c r="K269">
        <v>2025</v>
      </c>
      <c r="L269">
        <v>9</v>
      </c>
      <c r="M269" s="1" t="s">
        <v>16</v>
      </c>
      <c r="N269">
        <v>356</v>
      </c>
      <c r="O269">
        <v>31.918735999999999</v>
      </c>
    </row>
    <row r="270" spans="11:15" x14ac:dyDescent="0.35">
      <c r="K270">
        <v>2025</v>
      </c>
      <c r="L270">
        <v>9</v>
      </c>
      <c r="M270" s="1" t="s">
        <v>17</v>
      </c>
      <c r="N270">
        <v>436</v>
      </c>
      <c r="O270">
        <v>10.762362</v>
      </c>
    </row>
    <row r="271" spans="11:15" x14ac:dyDescent="0.35">
      <c r="K271">
        <v>2025</v>
      </c>
      <c r="L271">
        <v>9</v>
      </c>
      <c r="M271" s="1" t="s">
        <v>18</v>
      </c>
      <c r="N271">
        <v>470</v>
      </c>
      <c r="O271">
        <v>495.12987199999998</v>
      </c>
    </row>
    <row r="272" spans="11:15" x14ac:dyDescent="0.35">
      <c r="K272">
        <v>2025</v>
      </c>
      <c r="L272">
        <v>9</v>
      </c>
      <c r="M272" s="1" t="s">
        <v>19</v>
      </c>
      <c r="N272">
        <v>198</v>
      </c>
      <c r="O272">
        <v>166.341061</v>
      </c>
    </row>
    <row r="273" spans="11:15" x14ac:dyDescent="0.35">
      <c r="K273">
        <v>2025</v>
      </c>
      <c r="L273">
        <v>10</v>
      </c>
      <c r="M273" s="1" t="s">
        <v>14</v>
      </c>
      <c r="N273">
        <v>490</v>
      </c>
      <c r="O273">
        <v>31.457979999999999</v>
      </c>
    </row>
    <row r="274" spans="11:15" x14ac:dyDescent="0.35">
      <c r="K274">
        <v>2025</v>
      </c>
      <c r="L274">
        <v>10</v>
      </c>
      <c r="M274" s="1" t="s">
        <v>15</v>
      </c>
      <c r="N274">
        <v>402</v>
      </c>
      <c r="O274">
        <v>32.050423000000002</v>
      </c>
    </row>
    <row r="275" spans="11:15" x14ac:dyDescent="0.35">
      <c r="K275">
        <v>2025</v>
      </c>
      <c r="L275">
        <v>10</v>
      </c>
      <c r="M275" s="1" t="s">
        <v>16</v>
      </c>
      <c r="N275">
        <v>394</v>
      </c>
      <c r="O275">
        <v>35.513122000000003</v>
      </c>
    </row>
    <row r="276" spans="11:15" x14ac:dyDescent="0.35">
      <c r="K276">
        <v>2025</v>
      </c>
      <c r="L276">
        <v>10</v>
      </c>
      <c r="M276" s="1" t="s">
        <v>17</v>
      </c>
      <c r="N276">
        <v>487</v>
      </c>
      <c r="O276">
        <v>10.338234</v>
      </c>
    </row>
    <row r="277" spans="11:15" x14ac:dyDescent="0.35">
      <c r="K277">
        <v>2025</v>
      </c>
      <c r="L277">
        <v>10</v>
      </c>
      <c r="M277" s="1" t="s">
        <v>18</v>
      </c>
      <c r="N277">
        <v>558</v>
      </c>
      <c r="O277">
        <v>476.83410400000002</v>
      </c>
    </row>
    <row r="278" spans="11:15" x14ac:dyDescent="0.35">
      <c r="K278">
        <v>2025</v>
      </c>
      <c r="L278">
        <v>10</v>
      </c>
      <c r="M278" s="1" t="s">
        <v>19</v>
      </c>
      <c r="N278">
        <v>274</v>
      </c>
      <c r="O278">
        <v>168.98061999999999</v>
      </c>
    </row>
    <row r="279" spans="11:15" x14ac:dyDescent="0.35">
      <c r="K279">
        <v>2025</v>
      </c>
      <c r="L279">
        <v>11</v>
      </c>
      <c r="M279" s="1" t="s">
        <v>14</v>
      </c>
      <c r="N279">
        <v>401</v>
      </c>
      <c r="O279">
        <v>32.229776000000001</v>
      </c>
    </row>
    <row r="280" spans="11:15" x14ac:dyDescent="0.35">
      <c r="K280">
        <v>2025</v>
      </c>
      <c r="L280">
        <v>11</v>
      </c>
      <c r="M280" s="1" t="s">
        <v>15</v>
      </c>
      <c r="N280">
        <v>338</v>
      </c>
      <c r="O280">
        <v>32.819763000000002</v>
      </c>
    </row>
    <row r="281" spans="11:15" x14ac:dyDescent="0.35">
      <c r="K281">
        <v>2025</v>
      </c>
      <c r="L281">
        <v>11</v>
      </c>
      <c r="M281" s="1" t="s">
        <v>16</v>
      </c>
      <c r="N281">
        <v>357</v>
      </c>
      <c r="O281">
        <v>29.535910000000001</v>
      </c>
    </row>
    <row r="282" spans="11:15" x14ac:dyDescent="0.35">
      <c r="K282">
        <v>2025</v>
      </c>
      <c r="L282">
        <v>11</v>
      </c>
      <c r="M282" s="1" t="s">
        <v>17</v>
      </c>
      <c r="N282">
        <v>455</v>
      </c>
      <c r="O282">
        <v>10.558967000000001</v>
      </c>
    </row>
    <row r="283" spans="11:15" x14ac:dyDescent="0.35">
      <c r="K283">
        <v>2025</v>
      </c>
      <c r="L283">
        <v>11</v>
      </c>
      <c r="M283" s="1" t="s">
        <v>18</v>
      </c>
      <c r="N283">
        <v>477</v>
      </c>
      <c r="O283">
        <v>490.50054499999999</v>
      </c>
    </row>
    <row r="284" spans="11:15" x14ac:dyDescent="0.35">
      <c r="K284">
        <v>2025</v>
      </c>
      <c r="L284">
        <v>11</v>
      </c>
      <c r="M284" s="1" t="s">
        <v>19</v>
      </c>
      <c r="N284">
        <v>190</v>
      </c>
      <c r="O284">
        <v>162.420368</v>
      </c>
    </row>
    <row r="285" spans="11:15" x14ac:dyDescent="0.35">
      <c r="K285">
        <v>2025</v>
      </c>
      <c r="L285">
        <v>12</v>
      </c>
      <c r="M285" s="1" t="s">
        <v>14</v>
      </c>
      <c r="N285">
        <v>410</v>
      </c>
      <c r="O285">
        <v>31.119902</v>
      </c>
    </row>
    <row r="286" spans="11:15" x14ac:dyDescent="0.35">
      <c r="K286">
        <v>2025</v>
      </c>
      <c r="L286">
        <v>12</v>
      </c>
      <c r="M286" s="1" t="s">
        <v>15</v>
      </c>
      <c r="N286">
        <v>357</v>
      </c>
      <c r="O286">
        <v>31.574369999999998</v>
      </c>
    </row>
    <row r="287" spans="11:15" x14ac:dyDescent="0.35">
      <c r="K287">
        <v>2025</v>
      </c>
      <c r="L287">
        <v>12</v>
      </c>
      <c r="M287" s="1" t="s">
        <v>16</v>
      </c>
      <c r="N287">
        <v>387</v>
      </c>
      <c r="O287">
        <v>31.096848000000001</v>
      </c>
    </row>
    <row r="288" spans="11:15" x14ac:dyDescent="0.35">
      <c r="K288">
        <v>2025</v>
      </c>
      <c r="L288">
        <v>12</v>
      </c>
      <c r="M288" s="1" t="s">
        <v>17</v>
      </c>
      <c r="N288">
        <v>467</v>
      </c>
      <c r="O288">
        <v>9.8769380000000009</v>
      </c>
    </row>
    <row r="289" spans="11:15" x14ac:dyDescent="0.35">
      <c r="K289">
        <v>2025</v>
      </c>
      <c r="L289">
        <v>12</v>
      </c>
      <c r="M289" s="1" t="s">
        <v>18</v>
      </c>
      <c r="N289">
        <v>539</v>
      </c>
      <c r="O289">
        <v>461.28645599999999</v>
      </c>
    </row>
    <row r="290" spans="11:15" x14ac:dyDescent="0.35">
      <c r="K290">
        <v>2025</v>
      </c>
      <c r="L290">
        <v>12</v>
      </c>
      <c r="M290" s="1" t="s">
        <v>19</v>
      </c>
      <c r="N290">
        <v>250</v>
      </c>
      <c r="O290">
        <v>171.27348000000001</v>
      </c>
    </row>
  </sheetData>
  <pageMargins left="0.7" right="0.7" top="0.75" bottom="0.75" header="0.3" footer="0.3"/>
  <drawing r:id="rId3"/>
  <tableParts count="4"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999E363E-FFBD-480E-8124-B7C712480CAA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q5PV</vt:lpstr>
      <vt:lpstr>Q5Query</vt:lpstr>
      <vt:lpstr>q4PV</vt:lpstr>
      <vt:lpstr>Tewolde_Territory_Chart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tewolde</dc:creator>
  <cp:lastModifiedBy>naomi tewolde</cp:lastModifiedBy>
  <dcterms:created xsi:type="dcterms:W3CDTF">2026-04-29T05:01:45Z</dcterms:created>
  <dcterms:modified xsi:type="dcterms:W3CDTF">2026-04-30T21:11:51Z</dcterms:modified>
</cp:coreProperties>
</file>